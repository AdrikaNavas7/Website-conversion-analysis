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a1c403a3ea0936f/Documents/Stripe Assessment/Analysis Purpose/"/>
    </mc:Choice>
  </mc:AlternateContent>
  <xr:revisionPtr revIDLastSave="544" documentId="11_288B46071E43C9A6C2CD3DC5907EA5DB004AEE41" xr6:coauthVersionLast="47" xr6:coauthVersionMax="47" xr10:uidLastSave="{8373F005-31A7-43C3-B535-59B9EC633857}"/>
  <bookViews>
    <workbookView xWindow="-108" yWindow="-108" windowWidth="23256" windowHeight="13896" activeTab="3" xr2:uid="{00000000-000D-0000-FFFF-FFFF00000000}"/>
  </bookViews>
  <sheets>
    <sheet name="raw_data" sheetId="1" r:id="rId1"/>
    <sheet name="Summary" sheetId="11" r:id="rId2"/>
    <sheet name="Coversion Rate" sheetId="2" r:id="rId3"/>
    <sheet name="Detail1" sheetId="5" r:id="rId4"/>
    <sheet name="Browser" sheetId="4" r:id="rId5"/>
    <sheet name="Country" sheetId="6" r:id="rId6"/>
    <sheet name="BrowserWeek" sheetId="8" r:id="rId7"/>
    <sheet name="CountryWeek" sheetId="10" r:id="rId8"/>
  </sheets>
  <calcPr calcId="191029"/>
  <pivotCaches>
    <pivotCache cacheId="8" r:id="rId9"/>
    <pivotCache cacheId="1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0" l="1"/>
  <c r="AF9" i="10"/>
  <c r="AF8" i="10"/>
  <c r="AF7" i="10"/>
  <c r="AE10" i="10"/>
  <c r="AE9" i="10"/>
  <c r="AE8" i="10"/>
  <c r="AE7" i="10"/>
  <c r="AD10" i="10"/>
  <c r="AD9" i="10"/>
  <c r="AD8" i="10"/>
  <c r="AD7" i="10"/>
  <c r="AC10" i="10"/>
  <c r="AC9" i="10"/>
  <c r="AC8" i="10"/>
  <c r="AC7" i="10"/>
  <c r="AB10" i="10"/>
  <c r="AB9" i="10"/>
  <c r="AB8" i="10"/>
  <c r="AB7" i="10"/>
  <c r="AA10" i="10"/>
  <c r="AA9" i="10"/>
  <c r="AA8" i="10"/>
  <c r="AA7" i="10"/>
  <c r="AF6" i="10"/>
  <c r="AE6" i="10"/>
  <c r="AD6" i="10"/>
  <c r="AC6" i="10"/>
  <c r="AB6" i="10"/>
  <c r="AA6" i="10"/>
  <c r="Z6" i="10"/>
  <c r="Z9" i="10"/>
  <c r="Z8" i="10"/>
  <c r="Z7" i="10"/>
  <c r="Z10" i="10"/>
  <c r="AF22" i="10"/>
  <c r="AF21" i="10"/>
  <c r="AF20" i="10"/>
  <c r="AF19" i="10"/>
  <c r="AF23" i="10"/>
  <c r="AF24" i="10"/>
  <c r="AF25" i="10"/>
  <c r="AF18" i="10"/>
  <c r="AF17" i="10"/>
  <c r="AF16" i="10"/>
  <c r="AF15" i="10"/>
  <c r="AF14" i="10"/>
  <c r="AE25" i="10"/>
  <c r="AE24" i="10"/>
  <c r="AE23" i="10"/>
  <c r="AE22" i="10"/>
  <c r="AE21" i="10"/>
  <c r="AE20" i="10"/>
  <c r="AE19" i="10"/>
  <c r="AE18" i="10"/>
  <c r="AE16" i="10"/>
  <c r="AE17" i="10"/>
  <c r="AE15" i="10"/>
  <c r="AE14" i="10"/>
  <c r="AD25" i="10"/>
  <c r="AD24" i="10"/>
  <c r="AD23" i="10"/>
  <c r="AD22" i="10"/>
  <c r="AD21" i="10"/>
  <c r="AD20" i="10"/>
  <c r="AD19" i="10"/>
  <c r="AD18" i="10"/>
  <c r="AD17" i="10"/>
  <c r="AD16" i="10"/>
  <c r="AD15" i="10"/>
  <c r="AC25" i="10"/>
  <c r="AC24" i="10"/>
  <c r="AC23" i="10"/>
  <c r="AC22" i="10"/>
  <c r="AC21" i="10"/>
  <c r="AC20" i="10"/>
  <c r="AC19" i="10"/>
  <c r="AC18" i="10"/>
  <c r="AC17" i="10"/>
  <c r="AC16" i="10"/>
  <c r="AC15" i="10"/>
  <c r="AB25" i="10"/>
  <c r="AB24" i="10"/>
  <c r="AB23" i="10"/>
  <c r="AB22" i="10"/>
  <c r="AB20" i="10"/>
  <c r="AB19" i="10"/>
  <c r="AB18" i="10"/>
  <c r="AB16" i="10"/>
  <c r="AB15" i="10"/>
  <c r="AB21" i="10"/>
  <c r="AB17" i="10"/>
  <c r="AA25" i="10"/>
  <c r="AA24" i="10"/>
  <c r="AA23" i="10"/>
  <c r="AA22" i="10"/>
  <c r="AA21" i="10"/>
  <c r="AA20" i="10"/>
  <c r="AA19" i="10"/>
  <c r="AA18" i="10"/>
  <c r="AA17" i="10"/>
  <c r="AA16" i="10"/>
  <c r="AA15" i="10"/>
  <c r="Z25" i="10"/>
  <c r="Z24" i="10"/>
  <c r="Z23" i="10"/>
  <c r="Z22" i="10"/>
  <c r="Z21" i="10"/>
  <c r="Z20" i="10"/>
  <c r="Z19" i="10"/>
  <c r="Z18" i="10"/>
  <c r="Z17" i="10"/>
  <c r="Z16" i="10"/>
  <c r="Z15" i="10"/>
  <c r="Z14" i="10"/>
  <c r="AD14" i="10"/>
  <c r="AC14" i="10"/>
  <c r="AB14" i="10"/>
  <c r="AA14" i="10"/>
  <c r="AF11" i="10"/>
  <c r="AE11" i="10"/>
  <c r="AD11" i="10"/>
  <c r="AC11" i="10"/>
  <c r="AB11" i="10"/>
  <c r="AA11" i="10"/>
  <c r="Z11" i="10"/>
  <c r="AF13" i="10"/>
  <c r="AE13" i="10"/>
  <c r="AD13" i="10"/>
  <c r="AC13" i="10"/>
  <c r="AB13" i="10"/>
  <c r="AF12" i="10"/>
  <c r="AE12" i="10"/>
  <c r="AD12" i="10"/>
  <c r="AC12" i="10"/>
  <c r="AB12" i="10"/>
  <c r="AA13" i="10"/>
  <c r="AA12" i="10"/>
  <c r="Z13" i="10"/>
  <c r="Z12" i="10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O25" i="8"/>
  <c r="O23" i="8"/>
  <c r="O24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N23" i="8"/>
  <c r="N25" i="8"/>
  <c r="N24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Q7" i="8"/>
  <c r="P7" i="8"/>
  <c r="O7" i="8"/>
  <c r="N7" i="8"/>
  <c r="Q6" i="8"/>
  <c r="P6" i="8"/>
  <c r="O6" i="8"/>
  <c r="N6" i="8"/>
  <c r="D13" i="6"/>
  <c r="D12" i="6"/>
  <c r="D11" i="6"/>
  <c r="D10" i="6"/>
  <c r="D9" i="6"/>
  <c r="D8" i="6"/>
  <c r="D7" i="6"/>
  <c r="D6" i="6"/>
  <c r="D5" i="6"/>
  <c r="D4" i="6"/>
  <c r="D7" i="4"/>
  <c r="D6" i="4"/>
  <c r="D5" i="4"/>
  <c r="D4" i="4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4" i="2"/>
  <c r="D5" i="2"/>
</calcChain>
</file>

<file path=xl/sharedStrings.xml><?xml version="1.0" encoding="utf-8"?>
<sst xmlns="http://schemas.openxmlformats.org/spreadsheetml/2006/main" count="2118" uniqueCount="41">
  <si>
    <t>week</t>
  </si>
  <si>
    <t>browser</t>
  </si>
  <si>
    <t>country</t>
  </si>
  <si>
    <t>visits</t>
  </si>
  <si>
    <t>conversions</t>
  </si>
  <si>
    <t>chrome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</si>
  <si>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</si>
  <si>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</si>
  <si>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</si>
  <si>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</si>
  <si>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</si>
  <si>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</si>
  <si>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</si>
  <si>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</si>
  <si>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</si>
  <si>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</si>
  <si>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firefox</t>
  </si>
  <si>
    <t>ie</t>
  </si>
  <si>
    <t>safari</t>
  </si>
  <si>
    <t>Row Labels</t>
  </si>
  <si>
    <t>Grand Total</t>
  </si>
  <si>
    <t>Sum of visits</t>
  </si>
  <si>
    <t>Sum of conversions</t>
  </si>
  <si>
    <t>Conversion rate</t>
  </si>
  <si>
    <t>Conversion Rate</t>
  </si>
  <si>
    <t>Details for Sum of visits - browser: safari</t>
  </si>
  <si>
    <t>(blank)</t>
  </si>
  <si>
    <t>Column Labels</t>
  </si>
  <si>
    <t>Total Sum of visits</t>
  </si>
  <si>
    <t>Total Sum of conversions</t>
  </si>
  <si>
    <t xml:space="preserve">Chrome </t>
  </si>
  <si>
    <t>Firefox</t>
  </si>
  <si>
    <t>IE</t>
  </si>
  <si>
    <t>Safari</t>
  </si>
  <si>
    <t>Dataset Overview</t>
  </si>
  <si>
    <t>•  20 weeks of data  |  4 browsers  |  10 markets</t>
  </si>
  <si>
    <t>•  Overall conversion rate: 38.7%  (sum of conversions ÷ sum of visits)</t>
  </si>
  <si>
    <t>Metric Note</t>
  </si>
  <si>
    <t>•  'Conversions' should confirm what qualifies: purchase, signup, or both</t>
  </si>
  <si>
    <t>•  'Visits' should be validated: bot traffic, repeat sessions, or non-purchase page views could distort the rate</t>
  </si>
  <si>
    <t>•  175.7M total visits  |  68.1M total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</si>
</sst>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334155"/>
      <name val="Calibri"/>
    </font>
    <font>
      <b/>
      <sz val="10"/>
      <color rgb="FF334155"/>
      <name val="Calibri"/>
      <family val="2"/>
    </font>
    <font>
      <b/>
      <sz val="11"/>
      <color rgb="FF0F172A"/>
      <name val="Calibri"/>
      <family val="2"/>
    </font>
    <font>
      <sz val="10"/>
      <color rgb="FF33415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0" applyFont="1" applyFill="1" applyBorder="1"/>
    <xf numFmtId="10" fontId="3" fillId="2" borderId="1" xfId="0" applyNumberFormat="1" applyFont="1" applyFill="1" applyBorder="1"/>
    <xf numFmtId="10" fontId="0" fillId="0" borderId="0" xfId="0" applyNumberFormat="1"/>
    <xf numFmtId="0" fontId="4" fillId="0" borderId="0" xfId="0" applyFont="1"/>
    <xf numFmtId="9" fontId="0" fillId="0" borderId="0" xfId="1" applyFont="1"/>
    <xf numFmtId="10" fontId="0" fillId="0" borderId="0" xfId="1" applyNumberFormat="1" applyFont="1"/>
    <xf numFmtId="0" fontId="3" fillId="2" borderId="0" xfId="0" applyFont="1" applyFill="1"/>
    <xf numFmtId="10" fontId="1" fillId="0" borderId="0" xfId="0" applyNumberFormat="1" applyFont="1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10" fontId="0" fillId="3" borderId="0" xfId="0" applyNumberFormat="1" applyFill="1"/>
    <xf numFmtId="0" fontId="0" fillId="3" borderId="0" xfId="0" applyFill="1"/>
    <xf numFmtId="10" fontId="0" fillId="0" borderId="0" xfId="0" applyNumberFormat="1" applyFill="1"/>
    <xf numFmtId="0" fontId="0" fillId="0" borderId="0" xfId="0" applyFill="1"/>
    <xf numFmtId="0" fontId="5" fillId="0" borderId="0" xfId="0" applyFont="1"/>
    <xf numFmtId="0" fontId="8" fillId="0" borderId="0" xfId="0" applyFont="1"/>
    <xf numFmtId="0" fontId="6" fillId="3" borderId="0" xfId="0" applyFont="1" applyFill="1"/>
    <xf numFmtId="0" fontId="7" fillId="3" borderId="0" xfId="0" applyFont="1" applyFill="1"/>
    <xf numFmtId="10" fontId="4" fillId="3" borderId="0" xfId="0" applyNumberFormat="1" applyFont="1" applyFill="1"/>
  </cellXfs>
  <cellStyles count="2">
    <cellStyle name="Normal" xfId="0" builtinId="0"/>
    <cellStyle name="Percent" xfId="1" builtinId="5"/>
  </cellStyles>
  <dxfs count="6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ka Navas" refreshedDate="46127.639812731482" createdVersion="8" refreshedVersion="8" minRefreshableVersion="3" recordCount="800" xr:uid="{406AAEC4-14E2-48ED-A568-5EA12DE9E1CE}">
  <cacheSource type="worksheet">
    <worksheetSource ref="A1:E801" sheet="raw_data"/>
  </cacheSource>
  <cacheFields count="5">
    <cacheField name="week" numFmtId="0">
      <sharedItems containsSemiMixedTypes="0" containsString="0" containsNumber="1" containsInteger="1" minValue="0" maxValue="19" count="2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browser" numFmtId="0">
      <sharedItems count="4">
        <s v="chrome"/>
        <s v="firefox"/>
        <s v="ie"/>
        <s v="safari"/>
      </sharedItems>
    </cacheField>
    <cacheField name="country" numFmtId="0">
      <sharedItems count="10">
        <s v="AA"/>
        <s v="AB"/>
        <s v="AC"/>
        <s v="AD"/>
        <s v="AE"/>
        <s v="AF"/>
        <s v="AG"/>
        <s v="AH"/>
        <s v="AI"/>
        <s v="AJ"/>
      </sharedItems>
    </cacheField>
    <cacheField name="visits" numFmtId="0">
      <sharedItems containsSemiMixedTypes="0" containsString="0" containsNumber="1" containsInteger="1" minValue="1942" maxValue="2770866"/>
    </cacheField>
    <cacheField name="conversions" numFmtId="0">
      <sharedItems containsSemiMixedTypes="0" containsString="0" containsNumber="1" containsInteger="1" minValue="414" maxValue="1484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ka Navas" refreshedDate="46127.694468981485" createdVersion="8" refreshedVersion="8" minRefreshableVersion="3" recordCount="801" xr:uid="{91578757-026B-4302-BF45-02A09BEEF22F}">
  <cacheSource type="worksheet">
    <worksheetSource ref="A1:E1048576" sheet="raw_data"/>
  </cacheSource>
  <cacheFields count="5">
    <cacheField name="week" numFmtId="0">
      <sharedItems containsString="0" containsBlank="1" containsNumber="1" containsInteger="1" minValue="0" maxValue="19" count="2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m/>
      </sharedItems>
    </cacheField>
    <cacheField name="browser" numFmtId="0">
      <sharedItems containsBlank="1" count="5">
        <s v="chrome"/>
        <s v="firefox"/>
        <s v="ie"/>
        <s v="safari"/>
        <m/>
      </sharedItems>
    </cacheField>
    <cacheField name="country" numFmtId="0">
      <sharedItems containsBlank="1" count="11">
        <s v="AA"/>
        <s v="AB"/>
        <s v="AC"/>
        <s v="AD"/>
        <s v="AE"/>
        <s v="AF"/>
        <s v="AG"/>
        <s v="AH"/>
        <s v="AI"/>
        <s v="AJ"/>
        <m/>
      </sharedItems>
    </cacheField>
    <cacheField name="visits" numFmtId="0">
      <sharedItems containsString="0" containsBlank="1" containsNumber="1" containsInteger="1" minValue="1942" maxValue="2770866"/>
    </cacheField>
    <cacheField name="conversions" numFmtId="0">
      <sharedItems containsString="0" containsBlank="1" containsNumber="1" containsInteger="1" minValue="414" maxValue="1484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x v="0"/>
    <x v="0"/>
    <n v="241655"/>
    <n v="26787"/>
  </r>
  <r>
    <x v="0"/>
    <x v="0"/>
    <x v="1"/>
    <n v="18041"/>
    <n v="3230"/>
  </r>
  <r>
    <x v="0"/>
    <x v="0"/>
    <x v="2"/>
    <n v="101680"/>
    <n v="75034"/>
  </r>
  <r>
    <x v="0"/>
    <x v="0"/>
    <x v="3"/>
    <n v="120393"/>
    <n v="39988"/>
  </r>
  <r>
    <x v="0"/>
    <x v="0"/>
    <x v="4"/>
    <n v="35729"/>
    <n v="29274"/>
  </r>
  <r>
    <x v="0"/>
    <x v="0"/>
    <x v="5"/>
    <n v="17891"/>
    <n v="2522"/>
  </r>
  <r>
    <x v="0"/>
    <x v="0"/>
    <x v="6"/>
    <n v="11762"/>
    <n v="2063"/>
  </r>
  <r>
    <x v="0"/>
    <x v="0"/>
    <x v="7"/>
    <n v="120293"/>
    <n v="51068"/>
  </r>
  <r>
    <x v="0"/>
    <x v="0"/>
    <x v="8"/>
    <n v="35746"/>
    <n v="1853"/>
  </r>
  <r>
    <x v="0"/>
    <x v="0"/>
    <x v="9"/>
    <n v="24315"/>
    <n v="13114"/>
  </r>
  <r>
    <x v="0"/>
    <x v="1"/>
    <x v="0"/>
    <n v="39980"/>
    <n v="13242"/>
  </r>
  <r>
    <x v="0"/>
    <x v="1"/>
    <x v="1"/>
    <n v="3013"/>
    <n v="1372"/>
  </r>
  <r>
    <x v="0"/>
    <x v="1"/>
    <x v="2"/>
    <n v="17037"/>
    <n v="15643"/>
  </r>
  <r>
    <x v="0"/>
    <x v="1"/>
    <x v="3"/>
    <n v="20099"/>
    <n v="13367"/>
  </r>
  <r>
    <x v="0"/>
    <x v="1"/>
    <x v="4"/>
    <n v="5927"/>
    <n v="5642"/>
  </r>
  <r>
    <x v="0"/>
    <x v="1"/>
    <x v="5"/>
    <n v="2977"/>
    <n v="1228"/>
  </r>
  <r>
    <x v="0"/>
    <x v="1"/>
    <x v="6"/>
    <n v="1942"/>
    <n v="921"/>
  </r>
  <r>
    <x v="0"/>
    <x v="1"/>
    <x v="7"/>
    <n v="19892"/>
    <n v="14849"/>
  </r>
  <r>
    <x v="0"/>
    <x v="1"/>
    <x v="8"/>
    <n v="6058"/>
    <n v="1033"/>
  </r>
  <r>
    <x v="0"/>
    <x v="1"/>
    <x v="9"/>
    <n v="4150"/>
    <n v="3398"/>
  </r>
  <r>
    <x v="0"/>
    <x v="2"/>
    <x v="0"/>
    <n v="80590"/>
    <n v="16173"/>
  </r>
  <r>
    <x v="0"/>
    <x v="2"/>
    <x v="1"/>
    <n v="5976"/>
    <n v="1782"/>
  </r>
  <r>
    <x v="0"/>
    <x v="2"/>
    <x v="2"/>
    <n v="34203"/>
    <n v="29132"/>
  </r>
  <r>
    <x v="0"/>
    <x v="2"/>
    <x v="3"/>
    <n v="40579"/>
    <n v="20102"/>
  </r>
  <r>
    <x v="0"/>
    <x v="2"/>
    <x v="4"/>
    <n v="11836"/>
    <n v="10632"/>
  </r>
  <r>
    <x v="0"/>
    <x v="2"/>
    <x v="5"/>
    <n v="6128"/>
    <n v="1531"/>
  </r>
  <r>
    <x v="0"/>
    <x v="2"/>
    <x v="6"/>
    <n v="4035"/>
    <n v="1237"/>
  </r>
  <r>
    <x v="0"/>
    <x v="2"/>
    <x v="7"/>
    <n v="40456"/>
    <n v="24168"/>
  </r>
  <r>
    <x v="0"/>
    <x v="2"/>
    <x v="8"/>
    <n v="11895"/>
    <n v="1135"/>
  </r>
  <r>
    <x v="0"/>
    <x v="2"/>
    <x v="9"/>
    <n v="8144"/>
    <n v="5621"/>
  </r>
  <r>
    <x v="0"/>
    <x v="3"/>
    <x v="0"/>
    <n v="80796"/>
    <n v="5707"/>
  </r>
  <r>
    <x v="0"/>
    <x v="3"/>
    <x v="1"/>
    <n v="6002"/>
    <n v="690"/>
  </r>
  <r>
    <x v="0"/>
    <x v="3"/>
    <x v="2"/>
    <n v="34200"/>
    <n v="21533"/>
  </r>
  <r>
    <x v="0"/>
    <x v="3"/>
    <x v="3"/>
    <n v="40364"/>
    <n v="9327"/>
  </r>
  <r>
    <x v="0"/>
    <x v="3"/>
    <x v="4"/>
    <n v="11839"/>
    <n v="8651"/>
  </r>
  <r>
    <x v="0"/>
    <x v="3"/>
    <x v="5"/>
    <n v="6103"/>
    <n v="554"/>
  </r>
  <r>
    <x v="0"/>
    <x v="3"/>
    <x v="6"/>
    <n v="3997"/>
    <n v="439"/>
  </r>
  <r>
    <x v="0"/>
    <x v="3"/>
    <x v="7"/>
    <n v="39899"/>
    <n v="12242"/>
  </r>
  <r>
    <x v="0"/>
    <x v="3"/>
    <x v="8"/>
    <n v="12129"/>
    <n v="414"/>
  </r>
  <r>
    <x v="0"/>
    <x v="3"/>
    <x v="9"/>
    <n v="8156"/>
    <n v="3286"/>
  </r>
  <r>
    <x v="1"/>
    <x v="0"/>
    <x v="0"/>
    <n v="364376"/>
    <n v="40109"/>
  </r>
  <r>
    <x v="1"/>
    <x v="0"/>
    <x v="1"/>
    <n v="27389"/>
    <n v="4681"/>
  </r>
  <r>
    <x v="1"/>
    <x v="0"/>
    <x v="2"/>
    <n v="152723"/>
    <n v="112238"/>
  </r>
  <r>
    <x v="1"/>
    <x v="0"/>
    <x v="3"/>
    <n v="181662"/>
    <n v="59800"/>
  </r>
  <r>
    <x v="1"/>
    <x v="0"/>
    <x v="4"/>
    <n v="53079"/>
    <n v="43220"/>
  </r>
  <r>
    <x v="1"/>
    <x v="0"/>
    <x v="5"/>
    <n v="27865"/>
    <n v="3954"/>
  </r>
  <r>
    <x v="1"/>
    <x v="0"/>
    <x v="6"/>
    <n v="17600"/>
    <n v="3044"/>
  </r>
  <r>
    <x v="1"/>
    <x v="0"/>
    <x v="7"/>
    <n v="180954"/>
    <n v="77214"/>
  </r>
  <r>
    <x v="1"/>
    <x v="0"/>
    <x v="8"/>
    <n v="53350"/>
    <n v="2731"/>
  </r>
  <r>
    <x v="1"/>
    <x v="0"/>
    <x v="9"/>
    <n v="36654"/>
    <n v="19846"/>
  </r>
  <r>
    <x v="1"/>
    <x v="1"/>
    <x v="0"/>
    <n v="60770"/>
    <n v="20190"/>
  </r>
  <r>
    <x v="1"/>
    <x v="1"/>
    <x v="1"/>
    <n v="4543"/>
    <n v="2047"/>
  </r>
  <r>
    <x v="1"/>
    <x v="1"/>
    <x v="2"/>
    <n v="25440"/>
    <n v="23321"/>
  </r>
  <r>
    <x v="1"/>
    <x v="1"/>
    <x v="3"/>
    <n v="30296"/>
    <n v="20137"/>
  </r>
  <r>
    <x v="1"/>
    <x v="1"/>
    <x v="4"/>
    <n v="8890"/>
    <n v="8438"/>
  </r>
  <r>
    <x v="1"/>
    <x v="1"/>
    <x v="5"/>
    <n v="4432"/>
    <n v="1830"/>
  </r>
  <r>
    <x v="1"/>
    <x v="1"/>
    <x v="6"/>
    <n v="2911"/>
    <n v="1379"/>
  </r>
  <r>
    <x v="1"/>
    <x v="1"/>
    <x v="7"/>
    <n v="30110"/>
    <n v="22455"/>
  </r>
  <r>
    <x v="1"/>
    <x v="1"/>
    <x v="8"/>
    <n v="8804"/>
    <n v="1536"/>
  </r>
  <r>
    <x v="1"/>
    <x v="1"/>
    <x v="9"/>
    <n v="6138"/>
    <n v="5069"/>
  </r>
  <r>
    <x v="1"/>
    <x v="2"/>
    <x v="0"/>
    <n v="120727"/>
    <n v="24062"/>
  </r>
  <r>
    <x v="1"/>
    <x v="2"/>
    <x v="1"/>
    <n v="9152"/>
    <n v="2712"/>
  </r>
  <r>
    <x v="1"/>
    <x v="2"/>
    <x v="2"/>
    <n v="51180"/>
    <n v="43401"/>
  </r>
  <r>
    <x v="1"/>
    <x v="2"/>
    <x v="3"/>
    <n v="59741"/>
    <n v="29560"/>
  </r>
  <r>
    <x v="1"/>
    <x v="2"/>
    <x v="4"/>
    <n v="17800"/>
    <n v="15978"/>
  </r>
  <r>
    <x v="1"/>
    <x v="2"/>
    <x v="5"/>
    <n v="9092"/>
    <n v="2315"/>
  </r>
  <r>
    <x v="1"/>
    <x v="2"/>
    <x v="6"/>
    <n v="5957"/>
    <n v="1733"/>
  </r>
  <r>
    <x v="1"/>
    <x v="2"/>
    <x v="7"/>
    <n v="60036"/>
    <n v="35765"/>
  </r>
  <r>
    <x v="1"/>
    <x v="2"/>
    <x v="8"/>
    <n v="17832"/>
    <n v="1772"/>
  </r>
  <r>
    <x v="1"/>
    <x v="2"/>
    <x v="9"/>
    <n v="12179"/>
    <n v="8544"/>
  </r>
  <r>
    <x v="1"/>
    <x v="3"/>
    <x v="0"/>
    <n v="120845"/>
    <n v="8336"/>
  </r>
  <r>
    <x v="1"/>
    <x v="3"/>
    <x v="1"/>
    <n v="9146"/>
    <n v="1022"/>
  </r>
  <r>
    <x v="1"/>
    <x v="3"/>
    <x v="2"/>
    <n v="50326"/>
    <n v="31518"/>
  </r>
  <r>
    <x v="1"/>
    <x v="3"/>
    <x v="3"/>
    <n v="60260"/>
    <n v="13685"/>
  </r>
  <r>
    <x v="1"/>
    <x v="3"/>
    <x v="4"/>
    <n v="17581"/>
    <n v="12831"/>
  </r>
  <r>
    <x v="1"/>
    <x v="3"/>
    <x v="5"/>
    <n v="9107"/>
    <n v="840"/>
  </r>
  <r>
    <x v="1"/>
    <x v="3"/>
    <x v="6"/>
    <n v="5851"/>
    <n v="656"/>
  </r>
  <r>
    <x v="1"/>
    <x v="3"/>
    <x v="7"/>
    <n v="60335"/>
    <n v="18580"/>
  </r>
  <r>
    <x v="1"/>
    <x v="3"/>
    <x v="8"/>
    <n v="17934"/>
    <n v="575"/>
  </r>
  <r>
    <x v="1"/>
    <x v="3"/>
    <x v="9"/>
    <n v="12255"/>
    <n v="5024"/>
  </r>
  <r>
    <x v="2"/>
    <x v="0"/>
    <x v="0"/>
    <n v="487568"/>
    <n v="53331"/>
  </r>
  <r>
    <x v="2"/>
    <x v="0"/>
    <x v="1"/>
    <n v="36442"/>
    <n v="6314"/>
  </r>
  <r>
    <x v="2"/>
    <x v="0"/>
    <x v="2"/>
    <n v="203909"/>
    <n v="149761"/>
  </r>
  <r>
    <x v="2"/>
    <x v="0"/>
    <x v="3"/>
    <n v="242499"/>
    <n v="79495"/>
  </r>
  <r>
    <x v="2"/>
    <x v="0"/>
    <x v="4"/>
    <n v="70882"/>
    <n v="57764"/>
  </r>
  <r>
    <x v="2"/>
    <x v="0"/>
    <x v="5"/>
    <n v="36555"/>
    <n v="5262"/>
  </r>
  <r>
    <x v="2"/>
    <x v="0"/>
    <x v="6"/>
    <n v="23248"/>
    <n v="4038"/>
  </r>
  <r>
    <x v="2"/>
    <x v="0"/>
    <x v="7"/>
    <n v="242405"/>
    <n v="103720"/>
  </r>
  <r>
    <x v="2"/>
    <x v="0"/>
    <x v="8"/>
    <n v="70455"/>
    <n v="3490"/>
  </r>
  <r>
    <x v="2"/>
    <x v="0"/>
    <x v="9"/>
    <n v="49320"/>
    <n v="26437"/>
  </r>
  <r>
    <x v="2"/>
    <x v="1"/>
    <x v="0"/>
    <n v="81200"/>
    <n v="26857"/>
  </r>
  <r>
    <x v="2"/>
    <x v="1"/>
    <x v="1"/>
    <n v="5984"/>
    <n v="2713"/>
  </r>
  <r>
    <x v="2"/>
    <x v="1"/>
    <x v="2"/>
    <n v="33680"/>
    <n v="30844"/>
  </r>
  <r>
    <x v="2"/>
    <x v="1"/>
    <x v="3"/>
    <n v="40526"/>
    <n v="26935"/>
  </r>
  <r>
    <x v="2"/>
    <x v="1"/>
    <x v="4"/>
    <n v="11678"/>
    <n v="11023"/>
  </r>
  <r>
    <x v="2"/>
    <x v="1"/>
    <x v="5"/>
    <n v="6246"/>
    <n v="2528"/>
  </r>
  <r>
    <x v="2"/>
    <x v="1"/>
    <x v="6"/>
    <n v="3801"/>
    <n v="1672"/>
  </r>
  <r>
    <x v="2"/>
    <x v="1"/>
    <x v="7"/>
    <n v="40604"/>
    <n v="30305"/>
  </r>
  <r>
    <x v="2"/>
    <x v="1"/>
    <x v="8"/>
    <n v="11834"/>
    <n v="1955"/>
  </r>
  <r>
    <x v="2"/>
    <x v="1"/>
    <x v="9"/>
    <n v="8263"/>
    <n v="6820"/>
  </r>
  <r>
    <x v="2"/>
    <x v="2"/>
    <x v="0"/>
    <n v="163194"/>
    <n v="32059"/>
  </r>
  <r>
    <x v="2"/>
    <x v="2"/>
    <x v="1"/>
    <n v="12244"/>
    <n v="3668"/>
  </r>
  <r>
    <x v="2"/>
    <x v="2"/>
    <x v="2"/>
    <n v="67918"/>
    <n v="57548"/>
  </r>
  <r>
    <x v="2"/>
    <x v="2"/>
    <x v="3"/>
    <n v="80737"/>
    <n v="39974"/>
  </r>
  <r>
    <x v="2"/>
    <x v="2"/>
    <x v="4"/>
    <n v="23816"/>
    <n v="21337"/>
  </r>
  <r>
    <x v="2"/>
    <x v="2"/>
    <x v="5"/>
    <n v="12350"/>
    <n v="3086"/>
  </r>
  <r>
    <x v="2"/>
    <x v="2"/>
    <x v="6"/>
    <n v="7711"/>
    <n v="2296"/>
  </r>
  <r>
    <x v="2"/>
    <x v="2"/>
    <x v="7"/>
    <n v="80908"/>
    <n v="48005"/>
  </r>
  <r>
    <x v="2"/>
    <x v="2"/>
    <x v="8"/>
    <n v="23608"/>
    <n v="2263"/>
  </r>
  <r>
    <x v="2"/>
    <x v="2"/>
    <x v="9"/>
    <n v="16852"/>
    <n v="11753"/>
  </r>
  <r>
    <x v="2"/>
    <x v="3"/>
    <x v="0"/>
    <n v="161883"/>
    <n v="11031"/>
  </r>
  <r>
    <x v="2"/>
    <x v="3"/>
    <x v="1"/>
    <n v="12412"/>
    <n v="1420"/>
  </r>
  <r>
    <x v="2"/>
    <x v="3"/>
    <x v="2"/>
    <n v="68021"/>
    <n v="42675"/>
  </r>
  <r>
    <x v="2"/>
    <x v="3"/>
    <x v="3"/>
    <n v="80478"/>
    <n v="18418"/>
  </r>
  <r>
    <x v="2"/>
    <x v="3"/>
    <x v="4"/>
    <n v="23529"/>
    <n v="17073"/>
  </r>
  <r>
    <x v="2"/>
    <x v="3"/>
    <x v="5"/>
    <n v="12112"/>
    <n v="1089"/>
  </r>
  <r>
    <x v="2"/>
    <x v="3"/>
    <x v="6"/>
    <n v="7696"/>
    <n v="838"/>
  </r>
  <r>
    <x v="2"/>
    <x v="3"/>
    <x v="7"/>
    <n v="81039"/>
    <n v="24943"/>
  </r>
  <r>
    <x v="2"/>
    <x v="3"/>
    <x v="8"/>
    <n v="23543"/>
    <n v="767"/>
  </r>
  <r>
    <x v="2"/>
    <x v="3"/>
    <x v="9"/>
    <n v="16482"/>
    <n v="6652"/>
  </r>
  <r>
    <x v="3"/>
    <x v="0"/>
    <x v="0"/>
    <n v="612804"/>
    <n v="66600"/>
  </r>
  <r>
    <x v="3"/>
    <x v="0"/>
    <x v="1"/>
    <n v="46096"/>
    <n v="7713"/>
  </r>
  <r>
    <x v="3"/>
    <x v="0"/>
    <x v="2"/>
    <n v="253369"/>
    <n v="186124"/>
  </r>
  <r>
    <x v="3"/>
    <x v="0"/>
    <x v="3"/>
    <n v="303756"/>
    <n v="99150"/>
  </r>
  <r>
    <x v="3"/>
    <x v="0"/>
    <x v="4"/>
    <n v="87699"/>
    <n v="71250"/>
  </r>
  <r>
    <x v="3"/>
    <x v="0"/>
    <x v="5"/>
    <n v="46198"/>
    <n v="6565"/>
  </r>
  <r>
    <x v="3"/>
    <x v="0"/>
    <x v="6"/>
    <n v="28886"/>
    <n v="4931"/>
  </r>
  <r>
    <x v="3"/>
    <x v="0"/>
    <x v="7"/>
    <n v="303565"/>
    <n v="128843"/>
  </r>
  <r>
    <x v="3"/>
    <x v="0"/>
    <x v="8"/>
    <n v="87339"/>
    <n v="4218"/>
  </r>
  <r>
    <x v="3"/>
    <x v="0"/>
    <x v="9"/>
    <n v="62381"/>
    <n v="33280"/>
  </r>
  <r>
    <x v="3"/>
    <x v="1"/>
    <x v="0"/>
    <n v="102159"/>
    <n v="33339"/>
  </r>
  <r>
    <x v="3"/>
    <x v="1"/>
    <x v="1"/>
    <n v="7650"/>
    <n v="3418"/>
  </r>
  <r>
    <x v="3"/>
    <x v="1"/>
    <x v="2"/>
    <n v="42175"/>
    <n v="38622"/>
  </r>
  <r>
    <x v="3"/>
    <x v="1"/>
    <x v="3"/>
    <n v="50427"/>
    <n v="33332"/>
  </r>
  <r>
    <x v="3"/>
    <x v="1"/>
    <x v="4"/>
    <n v="14640"/>
    <n v="13838"/>
  </r>
  <r>
    <x v="3"/>
    <x v="1"/>
    <x v="5"/>
    <n v="7677"/>
    <n v="3036"/>
  </r>
  <r>
    <x v="3"/>
    <x v="1"/>
    <x v="6"/>
    <n v="4833"/>
    <n v="2113"/>
  </r>
  <r>
    <x v="3"/>
    <x v="1"/>
    <x v="7"/>
    <n v="50110"/>
    <n v="37564"/>
  </r>
  <r>
    <x v="3"/>
    <x v="1"/>
    <x v="8"/>
    <n v="14713"/>
    <n v="2526"/>
  </r>
  <r>
    <x v="3"/>
    <x v="1"/>
    <x v="9"/>
    <n v="10399"/>
    <n v="8572"/>
  </r>
  <r>
    <x v="3"/>
    <x v="2"/>
    <x v="0"/>
    <n v="204411"/>
    <n v="40011"/>
  </r>
  <r>
    <x v="3"/>
    <x v="2"/>
    <x v="1"/>
    <n v="15359"/>
    <n v="4365"/>
  </r>
  <r>
    <x v="3"/>
    <x v="2"/>
    <x v="2"/>
    <n v="84250"/>
    <n v="71107"/>
  </r>
  <r>
    <x v="3"/>
    <x v="2"/>
    <x v="3"/>
    <n v="100851"/>
    <n v="49662"/>
  </r>
  <r>
    <x v="3"/>
    <x v="2"/>
    <x v="4"/>
    <n v="29134"/>
    <n v="26155"/>
  </r>
  <r>
    <x v="3"/>
    <x v="2"/>
    <x v="5"/>
    <n v="15420"/>
    <n v="3810"/>
  </r>
  <r>
    <x v="3"/>
    <x v="2"/>
    <x v="6"/>
    <n v="9489"/>
    <n v="2822"/>
  </r>
  <r>
    <x v="3"/>
    <x v="2"/>
    <x v="7"/>
    <n v="101298"/>
    <n v="60227"/>
  </r>
  <r>
    <x v="3"/>
    <x v="2"/>
    <x v="8"/>
    <n v="29081"/>
    <n v="2598"/>
  </r>
  <r>
    <x v="3"/>
    <x v="2"/>
    <x v="9"/>
    <n v="20614"/>
    <n v="14434"/>
  </r>
  <r>
    <x v="3"/>
    <x v="3"/>
    <x v="0"/>
    <n v="204109"/>
    <n v="14017"/>
  </r>
  <r>
    <x v="3"/>
    <x v="3"/>
    <x v="1"/>
    <n v="15547"/>
    <n v="1647"/>
  </r>
  <r>
    <x v="3"/>
    <x v="3"/>
    <x v="2"/>
    <n v="84455"/>
    <n v="52524"/>
  </r>
  <r>
    <x v="3"/>
    <x v="3"/>
    <x v="3"/>
    <n v="101489"/>
    <n v="22719"/>
  </r>
  <r>
    <x v="3"/>
    <x v="3"/>
    <x v="4"/>
    <n v="29193"/>
    <n v="21133"/>
  </r>
  <r>
    <x v="3"/>
    <x v="3"/>
    <x v="5"/>
    <n v="15334"/>
    <n v="1279"/>
  </r>
  <r>
    <x v="3"/>
    <x v="3"/>
    <x v="6"/>
    <n v="9659"/>
    <n v="1077"/>
  </r>
  <r>
    <x v="3"/>
    <x v="3"/>
    <x v="7"/>
    <n v="101505"/>
    <n v="31173"/>
  </r>
  <r>
    <x v="3"/>
    <x v="3"/>
    <x v="8"/>
    <n v="29704"/>
    <n v="835"/>
  </r>
  <r>
    <x v="3"/>
    <x v="3"/>
    <x v="9"/>
    <n v="20573"/>
    <n v="8368"/>
  </r>
  <r>
    <x v="4"/>
    <x v="0"/>
    <x v="0"/>
    <n v="737017"/>
    <n v="80222"/>
  </r>
  <r>
    <x v="4"/>
    <x v="0"/>
    <x v="1"/>
    <n v="56177"/>
    <n v="9429"/>
  </r>
  <r>
    <x v="4"/>
    <x v="0"/>
    <x v="2"/>
    <n v="303816"/>
    <n v="223171"/>
  </r>
  <r>
    <x v="4"/>
    <x v="0"/>
    <x v="3"/>
    <n v="365642"/>
    <n v="118487"/>
  </r>
  <r>
    <x v="4"/>
    <x v="0"/>
    <x v="4"/>
    <n v="103893"/>
    <n v="84188"/>
  </r>
  <r>
    <x v="4"/>
    <x v="0"/>
    <x v="5"/>
    <n v="55418"/>
    <n v="7759"/>
  </r>
  <r>
    <x v="4"/>
    <x v="0"/>
    <x v="6"/>
    <n v="34214"/>
    <n v="5766"/>
  </r>
  <r>
    <x v="4"/>
    <x v="0"/>
    <x v="7"/>
    <n v="365298"/>
    <n v="155300"/>
  </r>
  <r>
    <x v="4"/>
    <x v="0"/>
    <x v="8"/>
    <n v="104783"/>
    <n v="4933"/>
  </r>
  <r>
    <x v="4"/>
    <x v="0"/>
    <x v="9"/>
    <n v="75326"/>
    <n v="40152"/>
  </r>
  <r>
    <x v="4"/>
    <x v="1"/>
    <x v="0"/>
    <n v="123117"/>
    <n v="40216"/>
  </r>
  <r>
    <x v="4"/>
    <x v="1"/>
    <x v="1"/>
    <n v="9340"/>
    <n v="4177"/>
  </r>
  <r>
    <x v="4"/>
    <x v="1"/>
    <x v="2"/>
    <n v="50657"/>
    <n v="46480"/>
  </r>
  <r>
    <x v="4"/>
    <x v="1"/>
    <x v="3"/>
    <n v="60553"/>
    <n v="39841"/>
  </r>
  <r>
    <x v="4"/>
    <x v="1"/>
    <x v="4"/>
    <n v="17354"/>
    <n v="16409"/>
  </r>
  <r>
    <x v="4"/>
    <x v="1"/>
    <x v="5"/>
    <n v="9381"/>
    <n v="3707"/>
  </r>
  <r>
    <x v="4"/>
    <x v="1"/>
    <x v="6"/>
    <n v="5611"/>
    <n v="2512"/>
  </r>
  <r>
    <x v="4"/>
    <x v="1"/>
    <x v="7"/>
    <n v="61031"/>
    <n v="45479"/>
  </r>
  <r>
    <x v="4"/>
    <x v="1"/>
    <x v="8"/>
    <n v="17507"/>
    <n v="2934"/>
  </r>
  <r>
    <x v="4"/>
    <x v="1"/>
    <x v="9"/>
    <n v="12538"/>
    <n v="10355"/>
  </r>
  <r>
    <x v="4"/>
    <x v="2"/>
    <x v="0"/>
    <n v="245604"/>
    <n v="47846"/>
  </r>
  <r>
    <x v="4"/>
    <x v="2"/>
    <x v="1"/>
    <n v="18506"/>
    <n v="5401"/>
  </r>
  <r>
    <x v="4"/>
    <x v="2"/>
    <x v="2"/>
    <n v="101325"/>
    <n v="85608"/>
  </r>
  <r>
    <x v="4"/>
    <x v="2"/>
    <x v="3"/>
    <n v="121849"/>
    <n v="59992"/>
  </r>
  <r>
    <x v="4"/>
    <x v="2"/>
    <x v="4"/>
    <n v="34154"/>
    <n v="30557"/>
  </r>
  <r>
    <x v="4"/>
    <x v="2"/>
    <x v="5"/>
    <n v="18628"/>
    <n v="4593"/>
  </r>
  <r>
    <x v="4"/>
    <x v="2"/>
    <x v="6"/>
    <n v="11145"/>
    <n v="3274"/>
  </r>
  <r>
    <x v="4"/>
    <x v="2"/>
    <x v="7"/>
    <n v="121982"/>
    <n v="72798"/>
  </r>
  <r>
    <x v="4"/>
    <x v="2"/>
    <x v="8"/>
    <n v="35047"/>
    <n v="3195"/>
  </r>
  <r>
    <x v="4"/>
    <x v="2"/>
    <x v="9"/>
    <n v="25247"/>
    <n v="17610"/>
  </r>
  <r>
    <x v="4"/>
    <x v="3"/>
    <x v="0"/>
    <n v="246799"/>
    <n v="16725"/>
  </r>
  <r>
    <x v="4"/>
    <x v="3"/>
    <x v="1"/>
    <n v="18864"/>
    <n v="2051"/>
  </r>
  <r>
    <x v="4"/>
    <x v="3"/>
    <x v="2"/>
    <n v="101389"/>
    <n v="63226"/>
  </r>
  <r>
    <x v="4"/>
    <x v="3"/>
    <x v="3"/>
    <n v="121333"/>
    <n v="27136"/>
  </r>
  <r>
    <x v="4"/>
    <x v="3"/>
    <x v="4"/>
    <n v="34677"/>
    <n v="25086"/>
  </r>
  <r>
    <x v="4"/>
    <x v="3"/>
    <x v="5"/>
    <n v="18458"/>
    <n v="1592"/>
  </r>
  <r>
    <x v="4"/>
    <x v="3"/>
    <x v="6"/>
    <n v="11226"/>
    <n v="1258"/>
  </r>
  <r>
    <x v="4"/>
    <x v="3"/>
    <x v="7"/>
    <n v="121606"/>
    <n v="37171"/>
  </r>
  <r>
    <x v="4"/>
    <x v="3"/>
    <x v="8"/>
    <n v="34396"/>
    <n v="1022"/>
  </r>
  <r>
    <x v="4"/>
    <x v="3"/>
    <x v="9"/>
    <n v="25245"/>
    <n v="10148"/>
  </r>
  <r>
    <x v="5"/>
    <x v="0"/>
    <x v="0"/>
    <n v="864879"/>
    <n v="92961"/>
  </r>
  <r>
    <x v="5"/>
    <x v="0"/>
    <x v="1"/>
    <n v="64982"/>
    <n v="10961"/>
  </r>
  <r>
    <x v="5"/>
    <x v="0"/>
    <x v="2"/>
    <n v="355155"/>
    <n v="259579"/>
  </r>
  <r>
    <x v="5"/>
    <x v="0"/>
    <x v="3"/>
    <n v="427473"/>
    <n v="137895"/>
  </r>
  <r>
    <x v="5"/>
    <x v="0"/>
    <x v="4"/>
    <n v="121272"/>
    <n v="98032"/>
  </r>
  <r>
    <x v="5"/>
    <x v="0"/>
    <x v="5"/>
    <n v="65697"/>
    <n v="9064"/>
  </r>
  <r>
    <x v="5"/>
    <x v="0"/>
    <x v="6"/>
    <n v="39758"/>
    <n v="6638"/>
  </r>
  <r>
    <x v="5"/>
    <x v="0"/>
    <x v="7"/>
    <n v="427235"/>
    <n v="180437"/>
  </r>
  <r>
    <x v="5"/>
    <x v="0"/>
    <x v="8"/>
    <n v="121387"/>
    <n v="5608"/>
  </r>
  <r>
    <x v="5"/>
    <x v="0"/>
    <x v="9"/>
    <n v="88979"/>
    <n v="47136"/>
  </r>
  <r>
    <x v="5"/>
    <x v="1"/>
    <x v="0"/>
    <n v="143562"/>
    <n v="46484"/>
  </r>
  <r>
    <x v="5"/>
    <x v="1"/>
    <x v="1"/>
    <n v="10768"/>
    <n v="4811"/>
  </r>
  <r>
    <x v="5"/>
    <x v="1"/>
    <x v="2"/>
    <n v="58839"/>
    <n v="53704"/>
  </r>
  <r>
    <x v="5"/>
    <x v="1"/>
    <x v="3"/>
    <n v="71289"/>
    <n v="46561"/>
  </r>
  <r>
    <x v="5"/>
    <x v="1"/>
    <x v="4"/>
    <n v="20123"/>
    <n v="19040"/>
  </r>
  <r>
    <x v="5"/>
    <x v="1"/>
    <x v="5"/>
    <n v="11024"/>
    <n v="4385"/>
  </r>
  <r>
    <x v="5"/>
    <x v="1"/>
    <x v="6"/>
    <n v="6536"/>
    <n v="2954"/>
  </r>
  <r>
    <x v="5"/>
    <x v="1"/>
    <x v="7"/>
    <n v="71603"/>
    <n v="53421"/>
  </r>
  <r>
    <x v="5"/>
    <x v="1"/>
    <x v="8"/>
    <n v="20346"/>
    <n v="3316"/>
  </r>
  <r>
    <x v="5"/>
    <x v="1"/>
    <x v="9"/>
    <n v="14779"/>
    <n v="12123"/>
  </r>
  <r>
    <x v="5"/>
    <x v="2"/>
    <x v="0"/>
    <n v="288215"/>
    <n v="55960"/>
  </r>
  <r>
    <x v="5"/>
    <x v="2"/>
    <x v="1"/>
    <n v="21925"/>
    <n v="6195"/>
  </r>
  <r>
    <x v="5"/>
    <x v="2"/>
    <x v="2"/>
    <n v="117588"/>
    <n v="99060"/>
  </r>
  <r>
    <x v="5"/>
    <x v="2"/>
    <x v="3"/>
    <n v="142325"/>
    <n v="69149"/>
  </r>
  <r>
    <x v="5"/>
    <x v="2"/>
    <x v="4"/>
    <n v="40191"/>
    <n v="35867"/>
  </r>
  <r>
    <x v="5"/>
    <x v="2"/>
    <x v="5"/>
    <n v="21839"/>
    <n v="5346"/>
  </r>
  <r>
    <x v="5"/>
    <x v="2"/>
    <x v="6"/>
    <n v="13241"/>
    <n v="3978"/>
  </r>
  <r>
    <x v="5"/>
    <x v="2"/>
    <x v="7"/>
    <n v="141950"/>
    <n v="84151"/>
  </r>
  <r>
    <x v="5"/>
    <x v="2"/>
    <x v="8"/>
    <n v="40047"/>
    <n v="3519"/>
  </r>
  <r>
    <x v="5"/>
    <x v="2"/>
    <x v="9"/>
    <n v="29910"/>
    <n v="20793"/>
  </r>
  <r>
    <x v="5"/>
    <x v="3"/>
    <x v="0"/>
    <n v="289217"/>
    <n v="19343"/>
  </r>
  <r>
    <x v="5"/>
    <x v="3"/>
    <x v="1"/>
    <n v="21999"/>
    <n v="2468"/>
  </r>
  <r>
    <x v="5"/>
    <x v="3"/>
    <x v="2"/>
    <n v="117939"/>
    <n v="72915"/>
  </r>
  <r>
    <x v="5"/>
    <x v="3"/>
    <x v="3"/>
    <n v="142649"/>
    <n v="31935"/>
  </r>
  <r>
    <x v="5"/>
    <x v="3"/>
    <x v="4"/>
    <n v="40381"/>
    <n v="28934"/>
  </r>
  <r>
    <x v="5"/>
    <x v="3"/>
    <x v="5"/>
    <n v="21883"/>
    <n v="1917"/>
  </r>
  <r>
    <x v="5"/>
    <x v="3"/>
    <x v="6"/>
    <n v="13256"/>
    <n v="1406"/>
  </r>
  <r>
    <x v="5"/>
    <x v="3"/>
    <x v="7"/>
    <n v="142905"/>
    <n v="43798"/>
  </r>
  <r>
    <x v="5"/>
    <x v="3"/>
    <x v="8"/>
    <n v="40006"/>
    <n v="1140"/>
  </r>
  <r>
    <x v="5"/>
    <x v="3"/>
    <x v="9"/>
    <n v="29546"/>
    <n v="12036"/>
  </r>
  <r>
    <x v="6"/>
    <x v="0"/>
    <x v="0"/>
    <n v="991696"/>
    <n v="106151"/>
  </r>
  <r>
    <x v="6"/>
    <x v="0"/>
    <x v="1"/>
    <n v="75728"/>
    <n v="12726"/>
  </r>
  <r>
    <x v="6"/>
    <x v="0"/>
    <x v="2"/>
    <n v="404988"/>
    <n v="294854"/>
  </r>
  <r>
    <x v="6"/>
    <x v="0"/>
    <x v="3"/>
    <n v="489494"/>
    <n v="157468"/>
  </r>
  <r>
    <x v="6"/>
    <x v="0"/>
    <x v="4"/>
    <n v="136891"/>
    <n v="110553"/>
  </r>
  <r>
    <x v="6"/>
    <x v="0"/>
    <x v="5"/>
    <n v="75164"/>
    <n v="10480"/>
  </r>
  <r>
    <x v="6"/>
    <x v="0"/>
    <x v="6"/>
    <n v="44787"/>
    <n v="7413"/>
  </r>
  <r>
    <x v="6"/>
    <x v="0"/>
    <x v="7"/>
    <n v="489397"/>
    <n v="206002"/>
  </r>
  <r>
    <x v="6"/>
    <x v="0"/>
    <x v="8"/>
    <n v="137183"/>
    <n v="6118"/>
  </r>
  <r>
    <x v="6"/>
    <x v="0"/>
    <x v="9"/>
    <n v="102772"/>
    <n v="54419"/>
  </r>
  <r>
    <x v="6"/>
    <x v="1"/>
    <x v="0"/>
    <n v="165999"/>
    <n v="53691"/>
  </r>
  <r>
    <x v="6"/>
    <x v="1"/>
    <x v="1"/>
    <n v="12460"/>
    <n v="5606"/>
  </r>
  <r>
    <x v="6"/>
    <x v="1"/>
    <x v="2"/>
    <n v="67241"/>
    <n v="61558"/>
  </r>
  <r>
    <x v="6"/>
    <x v="1"/>
    <x v="3"/>
    <n v="81173"/>
    <n v="52958"/>
  </r>
  <r>
    <x v="6"/>
    <x v="1"/>
    <x v="4"/>
    <n v="23015"/>
    <n v="21755"/>
  </r>
  <r>
    <x v="6"/>
    <x v="1"/>
    <x v="5"/>
    <n v="12532"/>
    <n v="4899"/>
  </r>
  <r>
    <x v="6"/>
    <x v="1"/>
    <x v="6"/>
    <n v="7272"/>
    <n v="3253"/>
  </r>
  <r>
    <x v="6"/>
    <x v="1"/>
    <x v="7"/>
    <n v="81061"/>
    <n v="60440"/>
  </r>
  <r>
    <x v="6"/>
    <x v="1"/>
    <x v="8"/>
    <n v="22832"/>
    <n v="3603"/>
  </r>
  <r>
    <x v="6"/>
    <x v="1"/>
    <x v="9"/>
    <n v="16953"/>
    <n v="13919"/>
  </r>
  <r>
    <x v="6"/>
    <x v="2"/>
    <x v="0"/>
    <n v="331186"/>
    <n v="63810"/>
  </r>
  <r>
    <x v="6"/>
    <x v="2"/>
    <x v="1"/>
    <n v="25206"/>
    <n v="7286"/>
  </r>
  <r>
    <x v="6"/>
    <x v="2"/>
    <x v="2"/>
    <n v="134971"/>
    <n v="113897"/>
  </r>
  <r>
    <x v="6"/>
    <x v="2"/>
    <x v="3"/>
    <n v="163935"/>
    <n v="79646"/>
  </r>
  <r>
    <x v="6"/>
    <x v="2"/>
    <x v="4"/>
    <n v="45774"/>
    <n v="40814"/>
  </r>
  <r>
    <x v="6"/>
    <x v="2"/>
    <x v="5"/>
    <n v="25064"/>
    <n v="5980"/>
  </r>
  <r>
    <x v="6"/>
    <x v="2"/>
    <x v="6"/>
    <n v="15035"/>
    <n v="4233"/>
  </r>
  <r>
    <x v="6"/>
    <x v="2"/>
    <x v="7"/>
    <n v="162495"/>
    <n v="96567"/>
  </r>
  <r>
    <x v="6"/>
    <x v="2"/>
    <x v="8"/>
    <n v="45541"/>
    <n v="3962"/>
  </r>
  <r>
    <x v="6"/>
    <x v="2"/>
    <x v="9"/>
    <n v="34373"/>
    <n v="23747"/>
  </r>
  <r>
    <x v="6"/>
    <x v="3"/>
    <x v="0"/>
    <n v="332196"/>
    <n v="22189"/>
  </r>
  <r>
    <x v="6"/>
    <x v="3"/>
    <x v="1"/>
    <n v="25069"/>
    <n v="2738"/>
  </r>
  <r>
    <x v="6"/>
    <x v="3"/>
    <x v="2"/>
    <n v="134915"/>
    <n v="83342"/>
  </r>
  <r>
    <x v="6"/>
    <x v="3"/>
    <x v="3"/>
    <n v="163801"/>
    <n v="35868"/>
  </r>
  <r>
    <x v="6"/>
    <x v="3"/>
    <x v="4"/>
    <n v="45693"/>
    <n v="32689"/>
  </r>
  <r>
    <x v="6"/>
    <x v="3"/>
    <x v="5"/>
    <n v="25126"/>
    <n v="2177"/>
  </r>
  <r>
    <x v="6"/>
    <x v="3"/>
    <x v="6"/>
    <n v="14829"/>
    <n v="1607"/>
  </r>
  <r>
    <x v="6"/>
    <x v="3"/>
    <x v="7"/>
    <n v="163114"/>
    <n v="49459"/>
  </r>
  <r>
    <x v="6"/>
    <x v="3"/>
    <x v="8"/>
    <n v="46002"/>
    <n v="1273"/>
  </r>
  <r>
    <x v="6"/>
    <x v="3"/>
    <x v="9"/>
    <n v="34300"/>
    <n v="13766"/>
  </r>
  <r>
    <x v="7"/>
    <x v="0"/>
    <x v="0"/>
    <n v="1123833"/>
    <n v="118822"/>
  </r>
  <r>
    <x v="7"/>
    <x v="0"/>
    <x v="1"/>
    <n v="85172"/>
    <n v="13939"/>
  </r>
  <r>
    <x v="7"/>
    <x v="0"/>
    <x v="2"/>
    <n v="909940"/>
    <n v="661942"/>
  </r>
  <r>
    <x v="7"/>
    <x v="0"/>
    <x v="3"/>
    <n v="553019"/>
    <n v="176474"/>
  </r>
  <r>
    <x v="7"/>
    <x v="0"/>
    <x v="4"/>
    <n v="152570"/>
    <n v="122854"/>
  </r>
  <r>
    <x v="7"/>
    <x v="0"/>
    <x v="5"/>
    <n v="85165"/>
    <n v="11706"/>
  </r>
  <r>
    <x v="7"/>
    <x v="0"/>
    <x v="6"/>
    <n v="49807"/>
    <n v="8024"/>
  </r>
  <r>
    <x v="7"/>
    <x v="0"/>
    <x v="7"/>
    <n v="552436"/>
    <n v="232217"/>
  </r>
  <r>
    <x v="7"/>
    <x v="0"/>
    <x v="8"/>
    <n v="153301"/>
    <n v="6691"/>
  </r>
  <r>
    <x v="7"/>
    <x v="0"/>
    <x v="9"/>
    <n v="117204"/>
    <n v="62046"/>
  </r>
  <r>
    <x v="7"/>
    <x v="1"/>
    <x v="0"/>
    <n v="187156"/>
    <n v="60629"/>
  </r>
  <r>
    <x v="7"/>
    <x v="1"/>
    <x v="1"/>
    <n v="14353"/>
    <n v="6259"/>
  </r>
  <r>
    <x v="7"/>
    <x v="1"/>
    <x v="2"/>
    <n v="151200"/>
    <n v="138361"/>
  </r>
  <r>
    <x v="7"/>
    <x v="1"/>
    <x v="3"/>
    <n v="92421"/>
    <n v="60209"/>
  </r>
  <r>
    <x v="7"/>
    <x v="1"/>
    <x v="4"/>
    <n v="25765"/>
    <n v="24274"/>
  </r>
  <r>
    <x v="7"/>
    <x v="1"/>
    <x v="5"/>
    <n v="14054"/>
    <n v="5525"/>
  </r>
  <r>
    <x v="7"/>
    <x v="1"/>
    <x v="6"/>
    <n v="8242"/>
    <n v="3692"/>
  </r>
  <r>
    <x v="7"/>
    <x v="1"/>
    <x v="7"/>
    <n v="92627"/>
    <n v="68591"/>
  </r>
  <r>
    <x v="7"/>
    <x v="1"/>
    <x v="8"/>
    <n v="25466"/>
    <n v="3911"/>
  </r>
  <r>
    <x v="7"/>
    <x v="1"/>
    <x v="9"/>
    <n v="19614"/>
    <n v="16056"/>
  </r>
  <r>
    <x v="7"/>
    <x v="2"/>
    <x v="0"/>
    <n v="374549"/>
    <n v="71635"/>
  </r>
  <r>
    <x v="7"/>
    <x v="2"/>
    <x v="1"/>
    <n v="28440"/>
    <n v="8051"/>
  </r>
  <r>
    <x v="7"/>
    <x v="2"/>
    <x v="2"/>
    <n v="303134"/>
    <n v="255456"/>
  </r>
  <r>
    <x v="7"/>
    <x v="2"/>
    <x v="3"/>
    <n v="184396"/>
    <n v="89444"/>
  </r>
  <r>
    <x v="7"/>
    <x v="2"/>
    <x v="4"/>
    <n v="51097"/>
    <n v="45510"/>
  </r>
  <r>
    <x v="7"/>
    <x v="2"/>
    <x v="5"/>
    <n v="28257"/>
    <n v="6874"/>
  </r>
  <r>
    <x v="7"/>
    <x v="2"/>
    <x v="6"/>
    <n v="16842"/>
    <n v="4837"/>
  </r>
  <r>
    <x v="7"/>
    <x v="2"/>
    <x v="7"/>
    <n v="184097"/>
    <n v="108639"/>
  </r>
  <r>
    <x v="7"/>
    <x v="2"/>
    <x v="8"/>
    <n v="50670"/>
    <n v="4332"/>
  </r>
  <r>
    <x v="7"/>
    <x v="2"/>
    <x v="9"/>
    <n v="38653"/>
    <n v="26908"/>
  </r>
  <r>
    <x v="7"/>
    <x v="3"/>
    <x v="0"/>
    <n v="374540"/>
    <n v="24923"/>
  </r>
  <r>
    <x v="7"/>
    <x v="3"/>
    <x v="1"/>
    <n v="28470"/>
    <n v="2972"/>
  </r>
  <r>
    <x v="7"/>
    <x v="3"/>
    <x v="2"/>
    <n v="302888"/>
    <n v="186403"/>
  </r>
  <r>
    <x v="7"/>
    <x v="3"/>
    <x v="3"/>
    <n v="184259"/>
    <n v="40569"/>
  </r>
  <r>
    <x v="7"/>
    <x v="3"/>
    <x v="4"/>
    <n v="51050"/>
    <n v="36298"/>
  </r>
  <r>
    <x v="7"/>
    <x v="3"/>
    <x v="5"/>
    <n v="28565"/>
    <n v="2494"/>
  </r>
  <r>
    <x v="7"/>
    <x v="3"/>
    <x v="6"/>
    <n v="16531"/>
    <n v="1797"/>
  </r>
  <r>
    <x v="7"/>
    <x v="3"/>
    <x v="7"/>
    <n v="184507"/>
    <n v="55846"/>
  </r>
  <r>
    <x v="7"/>
    <x v="3"/>
    <x v="8"/>
    <n v="51120"/>
    <n v="1379"/>
  </r>
  <r>
    <x v="7"/>
    <x v="3"/>
    <x v="9"/>
    <n v="38647"/>
    <n v="15567"/>
  </r>
  <r>
    <x v="8"/>
    <x v="0"/>
    <x v="0"/>
    <n v="1254797"/>
    <n v="133167"/>
  </r>
  <r>
    <x v="8"/>
    <x v="0"/>
    <x v="1"/>
    <n v="95649"/>
    <n v="15564"/>
  </r>
  <r>
    <x v="8"/>
    <x v="0"/>
    <x v="2"/>
    <n v="1009878"/>
    <n v="732646"/>
  </r>
  <r>
    <x v="8"/>
    <x v="0"/>
    <x v="3"/>
    <n v="614923"/>
    <n v="195704"/>
  </r>
  <r>
    <x v="8"/>
    <x v="0"/>
    <x v="4"/>
    <n v="168666"/>
    <n v="135234"/>
  </r>
  <r>
    <x v="8"/>
    <x v="0"/>
    <x v="5"/>
    <n v="95577"/>
    <n v="13011"/>
  </r>
  <r>
    <x v="8"/>
    <x v="0"/>
    <x v="6"/>
    <n v="54943"/>
    <n v="9019"/>
  </r>
  <r>
    <x v="8"/>
    <x v="0"/>
    <x v="7"/>
    <n v="615678"/>
    <n v="258297"/>
  </r>
  <r>
    <x v="8"/>
    <x v="0"/>
    <x v="8"/>
    <n v="168892"/>
    <n v="7208"/>
  </r>
  <r>
    <x v="8"/>
    <x v="0"/>
    <x v="9"/>
    <n v="130487"/>
    <n v="68767"/>
  </r>
  <r>
    <x v="8"/>
    <x v="1"/>
    <x v="0"/>
    <n v="209205"/>
    <n v="67416"/>
  </r>
  <r>
    <x v="8"/>
    <x v="1"/>
    <x v="1"/>
    <n v="15798"/>
    <n v="6901"/>
  </r>
  <r>
    <x v="8"/>
    <x v="1"/>
    <x v="2"/>
    <n v="168405"/>
    <n v="153943"/>
  </r>
  <r>
    <x v="8"/>
    <x v="1"/>
    <x v="3"/>
    <n v="102991"/>
    <n v="66955"/>
  </r>
  <r>
    <x v="8"/>
    <x v="1"/>
    <x v="4"/>
    <n v="28077"/>
    <n v="26439"/>
  </r>
  <r>
    <x v="8"/>
    <x v="1"/>
    <x v="5"/>
    <n v="15870"/>
    <n v="6154"/>
  </r>
  <r>
    <x v="8"/>
    <x v="1"/>
    <x v="6"/>
    <n v="9124"/>
    <n v="3888"/>
  </r>
  <r>
    <x v="8"/>
    <x v="1"/>
    <x v="7"/>
    <n v="102908"/>
    <n v="76283"/>
  </r>
  <r>
    <x v="8"/>
    <x v="1"/>
    <x v="8"/>
    <n v="28243"/>
    <n v="4446"/>
  </r>
  <r>
    <x v="8"/>
    <x v="1"/>
    <x v="9"/>
    <n v="21896"/>
    <n v="18011"/>
  </r>
  <r>
    <x v="8"/>
    <x v="2"/>
    <x v="0"/>
    <n v="417002"/>
    <n v="79456"/>
  </r>
  <r>
    <x v="8"/>
    <x v="2"/>
    <x v="1"/>
    <n v="31866"/>
    <n v="9046"/>
  </r>
  <r>
    <x v="8"/>
    <x v="2"/>
    <x v="2"/>
    <n v="336307"/>
    <n v="282742"/>
  </r>
  <r>
    <x v="8"/>
    <x v="2"/>
    <x v="3"/>
    <n v="205041"/>
    <n v="98887"/>
  </r>
  <r>
    <x v="8"/>
    <x v="2"/>
    <x v="4"/>
    <n v="56670"/>
    <n v="50583"/>
  </r>
  <r>
    <x v="8"/>
    <x v="2"/>
    <x v="5"/>
    <n v="31976"/>
    <n v="7647"/>
  </r>
  <r>
    <x v="8"/>
    <x v="2"/>
    <x v="6"/>
    <n v="17994"/>
    <n v="5193"/>
  </r>
  <r>
    <x v="8"/>
    <x v="2"/>
    <x v="7"/>
    <n v="205708"/>
    <n v="121092"/>
  </r>
  <r>
    <x v="8"/>
    <x v="2"/>
    <x v="8"/>
    <n v="56400"/>
    <n v="4625"/>
  </r>
  <r>
    <x v="8"/>
    <x v="2"/>
    <x v="9"/>
    <n v="43358"/>
    <n v="30178"/>
  </r>
  <r>
    <x v="8"/>
    <x v="3"/>
    <x v="0"/>
    <n v="419892"/>
    <n v="27777"/>
  </r>
  <r>
    <x v="8"/>
    <x v="3"/>
    <x v="1"/>
    <n v="31758"/>
    <n v="3371"/>
  </r>
  <r>
    <x v="8"/>
    <x v="3"/>
    <x v="2"/>
    <n v="336775"/>
    <n v="206622"/>
  </r>
  <r>
    <x v="8"/>
    <x v="3"/>
    <x v="3"/>
    <n v="205336"/>
    <n v="44455"/>
  </r>
  <r>
    <x v="8"/>
    <x v="3"/>
    <x v="4"/>
    <n v="56664"/>
    <n v="40235"/>
  </r>
  <r>
    <x v="8"/>
    <x v="3"/>
    <x v="5"/>
    <n v="32075"/>
    <n v="2858"/>
  </r>
  <r>
    <x v="8"/>
    <x v="3"/>
    <x v="6"/>
    <n v="18085"/>
    <n v="1866"/>
  </r>
  <r>
    <x v="8"/>
    <x v="3"/>
    <x v="7"/>
    <n v="205916"/>
    <n v="62811"/>
  </r>
  <r>
    <x v="8"/>
    <x v="3"/>
    <x v="8"/>
    <n v="56629"/>
    <n v="1464"/>
  </r>
  <r>
    <x v="8"/>
    <x v="3"/>
    <x v="9"/>
    <n v="43522"/>
    <n v="17360"/>
  </r>
  <r>
    <x v="9"/>
    <x v="0"/>
    <x v="0"/>
    <n v="1385653"/>
    <n v="145370"/>
  </r>
  <r>
    <x v="9"/>
    <x v="0"/>
    <x v="1"/>
    <n v="105870"/>
    <n v="17134"/>
  </r>
  <r>
    <x v="9"/>
    <x v="0"/>
    <x v="2"/>
    <n v="1108578"/>
    <n v="803438"/>
  </r>
  <r>
    <x v="9"/>
    <x v="0"/>
    <x v="3"/>
    <n v="678786"/>
    <n v="214459"/>
  </r>
  <r>
    <x v="9"/>
    <x v="0"/>
    <x v="4"/>
    <n v="185608"/>
    <n v="148736"/>
  </r>
  <r>
    <x v="9"/>
    <x v="0"/>
    <x v="5"/>
    <n v="105275"/>
    <n v="14289"/>
  </r>
  <r>
    <x v="9"/>
    <x v="0"/>
    <x v="6"/>
    <n v="60057"/>
    <n v="9780"/>
  </r>
  <r>
    <x v="9"/>
    <x v="0"/>
    <x v="7"/>
    <n v="679804"/>
    <n v="284547"/>
  </r>
  <r>
    <x v="9"/>
    <x v="0"/>
    <x v="8"/>
    <n v="184631"/>
    <n v="7610"/>
  </r>
  <r>
    <x v="9"/>
    <x v="0"/>
    <x v="9"/>
    <n v="144964"/>
    <n v="76393"/>
  </r>
  <r>
    <x v="9"/>
    <x v="1"/>
    <x v="0"/>
    <n v="231114"/>
    <n v="73943"/>
  </r>
  <r>
    <x v="9"/>
    <x v="1"/>
    <x v="1"/>
    <n v="17506"/>
    <n v="7577"/>
  </r>
  <r>
    <x v="9"/>
    <x v="1"/>
    <x v="2"/>
    <n v="184580"/>
    <n v="168587"/>
  </r>
  <r>
    <x v="9"/>
    <x v="1"/>
    <x v="3"/>
    <n v="113458"/>
    <n v="73681"/>
  </r>
  <r>
    <x v="9"/>
    <x v="1"/>
    <x v="4"/>
    <n v="30709"/>
    <n v="28904"/>
  </r>
  <r>
    <x v="9"/>
    <x v="1"/>
    <x v="5"/>
    <n v="17654"/>
    <n v="6833"/>
  </r>
  <r>
    <x v="9"/>
    <x v="1"/>
    <x v="6"/>
    <n v="10053"/>
    <n v="4511"/>
  </r>
  <r>
    <x v="9"/>
    <x v="1"/>
    <x v="7"/>
    <n v="112767"/>
    <n v="83689"/>
  </r>
  <r>
    <x v="9"/>
    <x v="1"/>
    <x v="8"/>
    <n v="31042"/>
    <n v="4725"/>
  </r>
  <r>
    <x v="9"/>
    <x v="1"/>
    <x v="9"/>
    <n v="24272"/>
    <n v="19760"/>
  </r>
  <r>
    <x v="9"/>
    <x v="2"/>
    <x v="0"/>
    <n v="461959"/>
    <n v="87550"/>
  </r>
  <r>
    <x v="9"/>
    <x v="2"/>
    <x v="1"/>
    <n v="35343"/>
    <n v="9761"/>
  </r>
  <r>
    <x v="9"/>
    <x v="2"/>
    <x v="2"/>
    <n v="369154"/>
    <n v="310001"/>
  </r>
  <r>
    <x v="9"/>
    <x v="2"/>
    <x v="3"/>
    <n v="226908"/>
    <n v="108800"/>
  </r>
  <r>
    <x v="9"/>
    <x v="2"/>
    <x v="4"/>
    <n v="61736"/>
    <n v="54997"/>
  </r>
  <r>
    <x v="9"/>
    <x v="2"/>
    <x v="5"/>
    <n v="35634"/>
    <n v="8625"/>
  </r>
  <r>
    <x v="9"/>
    <x v="2"/>
    <x v="6"/>
    <n v="19786"/>
    <n v="5616"/>
  </r>
  <r>
    <x v="9"/>
    <x v="2"/>
    <x v="7"/>
    <n v="226222"/>
    <n v="133254"/>
  </r>
  <r>
    <x v="9"/>
    <x v="2"/>
    <x v="8"/>
    <n v="61733"/>
    <n v="4975"/>
  </r>
  <r>
    <x v="9"/>
    <x v="2"/>
    <x v="9"/>
    <n v="48361"/>
    <n v="33202"/>
  </r>
  <r>
    <x v="9"/>
    <x v="3"/>
    <x v="0"/>
    <n v="460972"/>
    <n v="30499"/>
  </r>
  <r>
    <x v="9"/>
    <x v="3"/>
    <x v="1"/>
    <n v="35204"/>
    <n v="3713"/>
  </r>
  <r>
    <x v="9"/>
    <x v="3"/>
    <x v="2"/>
    <n v="368969"/>
    <n v="225722"/>
  </r>
  <r>
    <x v="9"/>
    <x v="3"/>
    <x v="3"/>
    <n v="227181"/>
    <n v="49102"/>
  </r>
  <r>
    <x v="9"/>
    <x v="3"/>
    <x v="4"/>
    <n v="61399"/>
    <n v="43573"/>
  </r>
  <r>
    <x v="9"/>
    <x v="3"/>
    <x v="5"/>
    <n v="35178"/>
    <n v="2979"/>
  </r>
  <r>
    <x v="9"/>
    <x v="3"/>
    <x v="6"/>
    <n v="19702"/>
    <n v="2001"/>
  </r>
  <r>
    <x v="9"/>
    <x v="3"/>
    <x v="7"/>
    <n v="225887"/>
    <n v="68471"/>
  </r>
  <r>
    <x v="9"/>
    <x v="3"/>
    <x v="8"/>
    <n v="60994"/>
    <n v="1585"/>
  </r>
  <r>
    <x v="9"/>
    <x v="3"/>
    <x v="9"/>
    <n v="48363"/>
    <n v="19344"/>
  </r>
  <r>
    <x v="10"/>
    <x v="0"/>
    <x v="0"/>
    <n v="1518550"/>
    <n v="158919"/>
  </r>
  <r>
    <x v="10"/>
    <x v="0"/>
    <x v="1"/>
    <n v="115847"/>
    <n v="18722"/>
  </r>
  <r>
    <x v="10"/>
    <x v="0"/>
    <x v="2"/>
    <n v="1206360"/>
    <n v="871201"/>
  </r>
  <r>
    <x v="10"/>
    <x v="0"/>
    <x v="3"/>
    <n v="743352"/>
    <n v="233674"/>
  </r>
  <r>
    <x v="10"/>
    <x v="0"/>
    <x v="4"/>
    <n v="201288"/>
    <n v="161146"/>
  </r>
  <r>
    <x v="10"/>
    <x v="0"/>
    <x v="5"/>
    <n v="116204"/>
    <n v="15781"/>
  </r>
  <r>
    <x v="10"/>
    <x v="0"/>
    <x v="6"/>
    <n v="64287"/>
    <n v="10368"/>
  </r>
  <r>
    <x v="10"/>
    <x v="0"/>
    <x v="7"/>
    <n v="743418"/>
    <n v="310063"/>
  </r>
  <r>
    <x v="10"/>
    <x v="0"/>
    <x v="8"/>
    <n v="200102"/>
    <n v="8116"/>
  </r>
  <r>
    <x v="10"/>
    <x v="0"/>
    <x v="9"/>
    <n v="159773"/>
    <n v="84162"/>
  </r>
  <r>
    <x v="10"/>
    <x v="1"/>
    <x v="0"/>
    <n v="252581"/>
    <n v="80166"/>
  </r>
  <r>
    <x v="10"/>
    <x v="1"/>
    <x v="1"/>
    <n v="19203"/>
    <n v="8260"/>
  </r>
  <r>
    <x v="10"/>
    <x v="1"/>
    <x v="2"/>
    <n v="200399"/>
    <n v="182992"/>
  </r>
  <r>
    <x v="10"/>
    <x v="1"/>
    <x v="3"/>
    <n v="124045"/>
    <n v="80367"/>
  </r>
  <r>
    <x v="10"/>
    <x v="1"/>
    <x v="4"/>
    <n v="33166"/>
    <n v="31280"/>
  </r>
  <r>
    <x v="10"/>
    <x v="1"/>
    <x v="5"/>
    <n v="19242"/>
    <n v="7497"/>
  </r>
  <r>
    <x v="10"/>
    <x v="1"/>
    <x v="6"/>
    <n v="10669"/>
    <n v="4629"/>
  </r>
  <r>
    <x v="10"/>
    <x v="1"/>
    <x v="7"/>
    <n v="124128"/>
    <n v="92010"/>
  </r>
  <r>
    <x v="10"/>
    <x v="1"/>
    <x v="8"/>
    <n v="33581"/>
    <n v="4880"/>
  </r>
  <r>
    <x v="10"/>
    <x v="1"/>
    <x v="9"/>
    <n v="26776"/>
    <n v="21920"/>
  </r>
  <r>
    <x v="10"/>
    <x v="2"/>
    <x v="0"/>
    <n v="507093"/>
    <n v="95523"/>
  </r>
  <r>
    <x v="10"/>
    <x v="2"/>
    <x v="1"/>
    <n v="38555"/>
    <n v="10742"/>
  </r>
  <r>
    <x v="10"/>
    <x v="2"/>
    <x v="2"/>
    <n v="403256"/>
    <n v="338418"/>
  </r>
  <r>
    <x v="10"/>
    <x v="2"/>
    <x v="3"/>
    <n v="248026"/>
    <n v="118332"/>
  </r>
  <r>
    <x v="10"/>
    <x v="2"/>
    <x v="4"/>
    <n v="66296"/>
    <n v="58931"/>
  </r>
  <r>
    <x v="10"/>
    <x v="2"/>
    <x v="5"/>
    <n v="38782"/>
    <n v="9176"/>
  </r>
  <r>
    <x v="10"/>
    <x v="2"/>
    <x v="6"/>
    <n v="21349"/>
    <n v="5918"/>
  </r>
  <r>
    <x v="10"/>
    <x v="2"/>
    <x v="7"/>
    <n v="246974"/>
    <n v="145590"/>
  </r>
  <r>
    <x v="10"/>
    <x v="2"/>
    <x v="8"/>
    <n v="66684"/>
    <n v="5253"/>
  </r>
  <r>
    <x v="10"/>
    <x v="2"/>
    <x v="9"/>
    <n v="52750"/>
    <n v="36193"/>
  </r>
  <r>
    <x v="10"/>
    <x v="3"/>
    <x v="0"/>
    <n v="506177"/>
    <n v="33032"/>
  </r>
  <r>
    <x v="10"/>
    <x v="3"/>
    <x v="1"/>
    <n v="38974"/>
    <n v="4051"/>
  </r>
  <r>
    <x v="10"/>
    <x v="3"/>
    <x v="2"/>
    <n v="402349"/>
    <n v="245952"/>
  </r>
  <r>
    <x v="10"/>
    <x v="3"/>
    <x v="3"/>
    <n v="247575"/>
    <n v="53198"/>
  </r>
  <r>
    <x v="10"/>
    <x v="3"/>
    <x v="4"/>
    <n v="66669"/>
    <n v="47282"/>
  </r>
  <r>
    <x v="10"/>
    <x v="3"/>
    <x v="5"/>
    <n v="38951"/>
    <n v="3356"/>
  </r>
  <r>
    <x v="10"/>
    <x v="3"/>
    <x v="6"/>
    <n v="21309"/>
    <n v="2251"/>
  </r>
  <r>
    <x v="10"/>
    <x v="3"/>
    <x v="7"/>
    <n v="248797"/>
    <n v="75088"/>
  </r>
  <r>
    <x v="10"/>
    <x v="3"/>
    <x v="8"/>
    <n v="66708"/>
    <n v="1713"/>
  </r>
  <r>
    <x v="10"/>
    <x v="3"/>
    <x v="9"/>
    <n v="53340"/>
    <n v="21305"/>
  </r>
  <r>
    <x v="11"/>
    <x v="0"/>
    <x v="0"/>
    <n v="1652990"/>
    <n v="171302"/>
  </r>
  <r>
    <x v="11"/>
    <x v="0"/>
    <x v="1"/>
    <n v="126084"/>
    <n v="20180"/>
  </r>
  <r>
    <x v="11"/>
    <x v="0"/>
    <x v="2"/>
    <n v="1305886"/>
    <n v="941897"/>
  </r>
  <r>
    <x v="11"/>
    <x v="0"/>
    <x v="3"/>
    <n v="807819"/>
    <n v="251925"/>
  </r>
  <r>
    <x v="11"/>
    <x v="0"/>
    <x v="4"/>
    <n v="215349"/>
    <n v="171967"/>
  </r>
  <r>
    <x v="11"/>
    <x v="0"/>
    <x v="5"/>
    <n v="126198"/>
    <n v="17121"/>
  </r>
  <r>
    <x v="11"/>
    <x v="0"/>
    <x v="6"/>
    <n v="68435"/>
    <n v="10959"/>
  </r>
  <r>
    <x v="11"/>
    <x v="0"/>
    <x v="7"/>
    <n v="808168"/>
    <n v="336510"/>
  </r>
  <r>
    <x v="11"/>
    <x v="0"/>
    <x v="8"/>
    <n v="214924"/>
    <n v="8490"/>
  </r>
  <r>
    <x v="11"/>
    <x v="0"/>
    <x v="9"/>
    <n v="174668"/>
    <n v="91432"/>
  </r>
  <r>
    <x v="11"/>
    <x v="1"/>
    <x v="0"/>
    <n v="275135"/>
    <n v="86495"/>
  </r>
  <r>
    <x v="11"/>
    <x v="1"/>
    <x v="1"/>
    <n v="21076"/>
    <n v="9087"/>
  </r>
  <r>
    <x v="11"/>
    <x v="1"/>
    <x v="2"/>
    <n v="217439"/>
    <n v="198298"/>
  </r>
  <r>
    <x v="11"/>
    <x v="1"/>
    <x v="3"/>
    <n v="133868"/>
    <n v="86517"/>
  </r>
  <r>
    <x v="11"/>
    <x v="1"/>
    <x v="4"/>
    <n v="35967"/>
    <n v="33835"/>
  </r>
  <r>
    <x v="11"/>
    <x v="1"/>
    <x v="5"/>
    <n v="21061"/>
    <n v="8107"/>
  </r>
  <r>
    <x v="11"/>
    <x v="1"/>
    <x v="6"/>
    <n v="11455"/>
    <n v="4900"/>
  </r>
  <r>
    <x v="11"/>
    <x v="1"/>
    <x v="7"/>
    <n v="134489"/>
    <n v="99602"/>
  </r>
  <r>
    <x v="11"/>
    <x v="1"/>
    <x v="8"/>
    <n v="36117"/>
    <n v="5120"/>
  </r>
  <r>
    <x v="11"/>
    <x v="1"/>
    <x v="9"/>
    <n v="29108"/>
    <n v="23695"/>
  </r>
  <r>
    <x v="11"/>
    <x v="2"/>
    <x v="0"/>
    <n v="552040"/>
    <n v="104046"/>
  </r>
  <r>
    <x v="11"/>
    <x v="2"/>
    <x v="1"/>
    <n v="42100"/>
    <n v="11559"/>
  </r>
  <r>
    <x v="11"/>
    <x v="2"/>
    <x v="2"/>
    <n v="435856"/>
    <n v="364739"/>
  </r>
  <r>
    <x v="11"/>
    <x v="2"/>
    <x v="3"/>
    <n v="269602"/>
    <n v="128452"/>
  </r>
  <r>
    <x v="11"/>
    <x v="2"/>
    <x v="4"/>
    <n v="71724"/>
    <n v="63672"/>
  </r>
  <r>
    <x v="11"/>
    <x v="2"/>
    <x v="5"/>
    <n v="42040"/>
    <n v="9998"/>
  </r>
  <r>
    <x v="11"/>
    <x v="2"/>
    <x v="6"/>
    <n v="22867"/>
    <n v="6342"/>
  </r>
  <r>
    <x v="11"/>
    <x v="2"/>
    <x v="7"/>
    <n v="269908"/>
    <n v="158443"/>
  </r>
  <r>
    <x v="11"/>
    <x v="2"/>
    <x v="8"/>
    <n v="71359"/>
    <n v="5521"/>
  </r>
  <r>
    <x v="11"/>
    <x v="2"/>
    <x v="9"/>
    <n v="58323"/>
    <n v="40176"/>
  </r>
  <r>
    <x v="11"/>
    <x v="3"/>
    <x v="0"/>
    <n v="551530"/>
    <n v="36045"/>
  </r>
  <r>
    <x v="11"/>
    <x v="3"/>
    <x v="1"/>
    <n v="42220"/>
    <n v="4328"/>
  </r>
  <r>
    <x v="11"/>
    <x v="3"/>
    <x v="2"/>
    <n v="435595"/>
    <n v="265345"/>
  </r>
  <r>
    <x v="11"/>
    <x v="3"/>
    <x v="3"/>
    <n v="269645"/>
    <n v="57846"/>
  </r>
  <r>
    <x v="11"/>
    <x v="3"/>
    <x v="4"/>
    <n v="71229"/>
    <n v="50078"/>
  </r>
  <r>
    <x v="11"/>
    <x v="3"/>
    <x v="5"/>
    <n v="42152"/>
    <n v="3663"/>
  </r>
  <r>
    <x v="11"/>
    <x v="3"/>
    <x v="6"/>
    <n v="22893"/>
    <n v="2347"/>
  </r>
  <r>
    <x v="11"/>
    <x v="3"/>
    <x v="7"/>
    <n v="270020"/>
    <n v="80853"/>
  </r>
  <r>
    <x v="11"/>
    <x v="3"/>
    <x v="8"/>
    <n v="72100"/>
    <n v="1721"/>
  </r>
  <r>
    <x v="11"/>
    <x v="3"/>
    <x v="9"/>
    <n v="57958"/>
    <n v="23108"/>
  </r>
  <r>
    <x v="12"/>
    <x v="0"/>
    <x v="0"/>
    <n v="1788586"/>
    <n v="184905"/>
  </r>
  <r>
    <x v="12"/>
    <x v="0"/>
    <x v="1"/>
    <n v="136831"/>
    <n v="21612"/>
  </r>
  <r>
    <x v="12"/>
    <x v="0"/>
    <x v="2"/>
    <n v="1407268"/>
    <n v="1012629"/>
  </r>
  <r>
    <x v="12"/>
    <x v="0"/>
    <x v="3"/>
    <n v="874029"/>
    <n v="271817"/>
  </r>
  <r>
    <x v="12"/>
    <x v="0"/>
    <x v="4"/>
    <n v="229172"/>
    <n v="182361"/>
  </r>
  <r>
    <x v="12"/>
    <x v="0"/>
    <x v="5"/>
    <n v="137077"/>
    <n v="18319"/>
  </r>
  <r>
    <x v="12"/>
    <x v="0"/>
    <x v="6"/>
    <n v="73253"/>
    <n v="11878"/>
  </r>
  <r>
    <x v="12"/>
    <x v="0"/>
    <x v="7"/>
    <n v="871439"/>
    <n v="362115"/>
  </r>
  <r>
    <x v="12"/>
    <x v="0"/>
    <x v="8"/>
    <n v="230089"/>
    <n v="8959"/>
  </r>
  <r>
    <x v="12"/>
    <x v="0"/>
    <x v="9"/>
    <n v="189849"/>
    <n v="99040"/>
  </r>
  <r>
    <x v="12"/>
    <x v="1"/>
    <x v="0"/>
    <n v="297522"/>
    <n v="93869"/>
  </r>
  <r>
    <x v="12"/>
    <x v="1"/>
    <x v="1"/>
    <n v="22808"/>
    <n v="9659"/>
  </r>
  <r>
    <x v="12"/>
    <x v="1"/>
    <x v="2"/>
    <n v="234377"/>
    <n v="213321"/>
  </r>
  <r>
    <x v="12"/>
    <x v="1"/>
    <x v="3"/>
    <n v="145180"/>
    <n v="93512"/>
  </r>
  <r>
    <x v="12"/>
    <x v="1"/>
    <x v="4"/>
    <n v="38651"/>
    <n v="36283"/>
  </r>
  <r>
    <x v="12"/>
    <x v="1"/>
    <x v="5"/>
    <n v="22808"/>
    <n v="8643"/>
  </r>
  <r>
    <x v="12"/>
    <x v="1"/>
    <x v="6"/>
    <n v="12164"/>
    <n v="5140"/>
  </r>
  <r>
    <x v="12"/>
    <x v="1"/>
    <x v="7"/>
    <n v="146230"/>
    <n v="107997"/>
  </r>
  <r>
    <x v="12"/>
    <x v="1"/>
    <x v="8"/>
    <n v="38573"/>
    <n v="5302"/>
  </r>
  <r>
    <x v="12"/>
    <x v="1"/>
    <x v="9"/>
    <n v="31676"/>
    <n v="25703"/>
  </r>
  <r>
    <x v="12"/>
    <x v="2"/>
    <x v="0"/>
    <n v="594926"/>
    <n v="111491"/>
  </r>
  <r>
    <x v="12"/>
    <x v="2"/>
    <x v="1"/>
    <n v="45692"/>
    <n v="12485"/>
  </r>
  <r>
    <x v="12"/>
    <x v="2"/>
    <x v="2"/>
    <n v="468324"/>
    <n v="392084"/>
  </r>
  <r>
    <x v="12"/>
    <x v="2"/>
    <x v="3"/>
    <n v="291319"/>
    <n v="138437"/>
  </r>
  <r>
    <x v="12"/>
    <x v="2"/>
    <x v="4"/>
    <n v="76679"/>
    <n v="68002"/>
  </r>
  <r>
    <x v="12"/>
    <x v="2"/>
    <x v="5"/>
    <n v="45472"/>
    <n v="10806"/>
  </r>
  <r>
    <x v="12"/>
    <x v="2"/>
    <x v="6"/>
    <n v="24476"/>
    <n v="6725"/>
  </r>
  <r>
    <x v="12"/>
    <x v="2"/>
    <x v="7"/>
    <n v="291697"/>
    <n v="171465"/>
  </r>
  <r>
    <x v="12"/>
    <x v="2"/>
    <x v="8"/>
    <n v="76398"/>
    <n v="5645"/>
  </r>
  <r>
    <x v="12"/>
    <x v="2"/>
    <x v="9"/>
    <n v="63047"/>
    <n v="43335"/>
  </r>
  <r>
    <x v="12"/>
    <x v="3"/>
    <x v="0"/>
    <n v="595428"/>
    <n v="38143"/>
  </r>
  <r>
    <x v="12"/>
    <x v="3"/>
    <x v="1"/>
    <n v="45338"/>
    <n v="4687"/>
  </r>
  <r>
    <x v="12"/>
    <x v="3"/>
    <x v="2"/>
    <n v="468643"/>
    <n v="284538"/>
  </r>
  <r>
    <x v="12"/>
    <x v="3"/>
    <x v="3"/>
    <n v="291131"/>
    <n v="62088"/>
  </r>
  <r>
    <x v="12"/>
    <x v="3"/>
    <x v="4"/>
    <n v="76675"/>
    <n v="53782"/>
  </r>
  <r>
    <x v="12"/>
    <x v="3"/>
    <x v="5"/>
    <n v="45993"/>
    <n v="3878"/>
  </r>
  <r>
    <x v="12"/>
    <x v="3"/>
    <x v="6"/>
    <n v="24342"/>
    <n v="2520"/>
  </r>
  <r>
    <x v="12"/>
    <x v="3"/>
    <x v="7"/>
    <n v="290222"/>
    <n v="86714"/>
  </r>
  <r>
    <x v="12"/>
    <x v="3"/>
    <x v="8"/>
    <n v="76438"/>
    <n v="1739"/>
  </r>
  <r>
    <x v="12"/>
    <x v="3"/>
    <x v="9"/>
    <n v="63150"/>
    <n v="25360"/>
  </r>
  <r>
    <x v="13"/>
    <x v="0"/>
    <x v="0"/>
    <n v="1924499"/>
    <n v="197050"/>
  </r>
  <r>
    <x v="13"/>
    <x v="0"/>
    <x v="1"/>
    <n v="147107"/>
    <n v="23183"/>
  </r>
  <r>
    <x v="13"/>
    <x v="0"/>
    <x v="2"/>
    <n v="1506435"/>
    <n v="1082535"/>
  </r>
  <r>
    <x v="13"/>
    <x v="0"/>
    <x v="3"/>
    <n v="936597"/>
    <n v="288616"/>
  </r>
  <r>
    <x v="13"/>
    <x v="0"/>
    <x v="4"/>
    <n v="244693"/>
    <n v="194742"/>
  </r>
  <r>
    <x v="13"/>
    <x v="0"/>
    <x v="5"/>
    <n v="148287"/>
    <n v="20010"/>
  </r>
  <r>
    <x v="13"/>
    <x v="0"/>
    <x v="6"/>
    <n v="77684"/>
    <n v="12224"/>
  </r>
  <r>
    <x v="13"/>
    <x v="0"/>
    <x v="7"/>
    <n v="938052"/>
    <n v="389522"/>
  </r>
  <r>
    <x v="13"/>
    <x v="0"/>
    <x v="8"/>
    <n v="245082"/>
    <n v="9093"/>
  </r>
  <r>
    <x v="13"/>
    <x v="0"/>
    <x v="9"/>
    <n v="204811"/>
    <n v="106974"/>
  </r>
  <r>
    <x v="13"/>
    <x v="1"/>
    <x v="0"/>
    <n v="320895"/>
    <n v="100759"/>
  </r>
  <r>
    <x v="13"/>
    <x v="1"/>
    <x v="1"/>
    <n v="24624"/>
    <n v="10503"/>
  </r>
  <r>
    <x v="13"/>
    <x v="1"/>
    <x v="2"/>
    <n v="250415"/>
    <n v="228181"/>
  </r>
  <r>
    <x v="13"/>
    <x v="1"/>
    <x v="3"/>
    <n v="156080"/>
    <n v="100242"/>
  </r>
  <r>
    <x v="13"/>
    <x v="1"/>
    <x v="4"/>
    <n v="40737"/>
    <n v="38233"/>
  </r>
  <r>
    <x v="13"/>
    <x v="1"/>
    <x v="5"/>
    <n v="24285"/>
    <n v="9357"/>
  </r>
  <r>
    <x v="13"/>
    <x v="1"/>
    <x v="6"/>
    <n v="13020"/>
    <n v="5537"/>
  </r>
  <r>
    <x v="13"/>
    <x v="1"/>
    <x v="7"/>
    <n v="155928"/>
    <n v="115165"/>
  </r>
  <r>
    <x v="13"/>
    <x v="1"/>
    <x v="8"/>
    <n v="40515"/>
    <n v="5430"/>
  </r>
  <r>
    <x v="13"/>
    <x v="1"/>
    <x v="9"/>
    <n v="34556"/>
    <n v="28174"/>
  </r>
  <r>
    <x v="13"/>
    <x v="2"/>
    <x v="0"/>
    <n v="642572"/>
    <n v="119678"/>
  </r>
  <r>
    <x v="13"/>
    <x v="2"/>
    <x v="1"/>
    <n v="49358"/>
    <n v="13354"/>
  </r>
  <r>
    <x v="13"/>
    <x v="2"/>
    <x v="2"/>
    <n v="500868"/>
    <n v="418446"/>
  </r>
  <r>
    <x v="13"/>
    <x v="2"/>
    <x v="3"/>
    <n v="312886"/>
    <n v="147895"/>
  </r>
  <r>
    <x v="13"/>
    <x v="2"/>
    <x v="4"/>
    <n v="80866"/>
    <n v="71621"/>
  </r>
  <r>
    <x v="13"/>
    <x v="2"/>
    <x v="5"/>
    <n v="48971"/>
    <n v="11510"/>
  </r>
  <r>
    <x v="13"/>
    <x v="2"/>
    <x v="6"/>
    <n v="25826"/>
    <n v="6913"/>
  </r>
  <r>
    <x v="13"/>
    <x v="2"/>
    <x v="7"/>
    <n v="312902"/>
    <n v="183075"/>
  </r>
  <r>
    <x v="13"/>
    <x v="2"/>
    <x v="8"/>
    <n v="81901"/>
    <n v="5856"/>
  </r>
  <r>
    <x v="13"/>
    <x v="2"/>
    <x v="9"/>
    <n v="68217"/>
    <n v="46760"/>
  </r>
  <r>
    <x v="13"/>
    <x v="3"/>
    <x v="0"/>
    <n v="642994"/>
    <n v="40921"/>
  </r>
  <r>
    <x v="13"/>
    <x v="3"/>
    <x v="1"/>
    <n v="48990"/>
    <n v="4884"/>
  </r>
  <r>
    <x v="13"/>
    <x v="3"/>
    <x v="2"/>
    <n v="501078"/>
    <n v="302433"/>
  </r>
  <r>
    <x v="13"/>
    <x v="3"/>
    <x v="3"/>
    <n v="312123"/>
    <n v="65770"/>
  </r>
  <r>
    <x v="13"/>
    <x v="3"/>
    <x v="4"/>
    <n v="81605"/>
    <n v="57125"/>
  </r>
  <r>
    <x v="13"/>
    <x v="3"/>
    <x v="5"/>
    <n v="49267"/>
    <n v="4209"/>
  </r>
  <r>
    <x v="13"/>
    <x v="3"/>
    <x v="6"/>
    <n v="25869"/>
    <n v="2653"/>
  </r>
  <r>
    <x v="13"/>
    <x v="3"/>
    <x v="7"/>
    <n v="312058"/>
    <n v="92654"/>
  </r>
  <r>
    <x v="13"/>
    <x v="3"/>
    <x v="8"/>
    <n v="81688"/>
    <n v="1838"/>
  </r>
  <r>
    <x v="13"/>
    <x v="3"/>
    <x v="9"/>
    <n v="68415"/>
    <n v="27372"/>
  </r>
  <r>
    <x v="14"/>
    <x v="0"/>
    <x v="0"/>
    <n v="2063897"/>
    <n v="210826"/>
  </r>
  <r>
    <x v="14"/>
    <x v="0"/>
    <x v="1"/>
    <n v="157486"/>
    <n v="24675"/>
  </r>
  <r>
    <x v="14"/>
    <x v="0"/>
    <x v="2"/>
    <n v="1604474"/>
    <n v="1150346"/>
  </r>
  <r>
    <x v="14"/>
    <x v="0"/>
    <x v="3"/>
    <n v="1002749"/>
    <n v="308075"/>
  </r>
  <r>
    <x v="14"/>
    <x v="0"/>
    <x v="4"/>
    <n v="259165"/>
    <n v="205927"/>
  </r>
  <r>
    <x v="14"/>
    <x v="0"/>
    <x v="5"/>
    <n v="158037"/>
    <n v="21209"/>
  </r>
  <r>
    <x v="14"/>
    <x v="0"/>
    <x v="6"/>
    <n v="81535"/>
    <n v="12585"/>
  </r>
  <r>
    <x v="14"/>
    <x v="0"/>
    <x v="7"/>
    <n v="1001962"/>
    <n v="413821"/>
  </r>
  <r>
    <x v="14"/>
    <x v="0"/>
    <x v="8"/>
    <n v="258338"/>
    <n v="9373"/>
  </r>
  <r>
    <x v="14"/>
    <x v="0"/>
    <x v="9"/>
    <n v="220911"/>
    <n v="115504"/>
  </r>
  <r>
    <x v="14"/>
    <x v="1"/>
    <x v="0"/>
    <n v="343301"/>
    <n v="107037"/>
  </r>
  <r>
    <x v="14"/>
    <x v="1"/>
    <x v="1"/>
    <n v="26262"/>
    <n v="11162"/>
  </r>
  <r>
    <x v="14"/>
    <x v="1"/>
    <x v="2"/>
    <n v="266282"/>
    <n v="242218"/>
  </r>
  <r>
    <x v="14"/>
    <x v="1"/>
    <x v="3"/>
    <n v="167075"/>
    <n v="106890"/>
  </r>
  <r>
    <x v="14"/>
    <x v="1"/>
    <x v="4"/>
    <n v="43377"/>
    <n v="40692"/>
  </r>
  <r>
    <x v="14"/>
    <x v="1"/>
    <x v="5"/>
    <n v="26495"/>
    <n v="9983"/>
  </r>
  <r>
    <x v="14"/>
    <x v="1"/>
    <x v="6"/>
    <n v="13573"/>
    <n v="5862"/>
  </r>
  <r>
    <x v="14"/>
    <x v="1"/>
    <x v="7"/>
    <n v="167233"/>
    <n v="123599"/>
  </r>
  <r>
    <x v="14"/>
    <x v="1"/>
    <x v="8"/>
    <n v="43109"/>
    <n v="5632"/>
  </r>
  <r>
    <x v="14"/>
    <x v="1"/>
    <x v="9"/>
    <n v="36454"/>
    <n v="29656"/>
  </r>
  <r>
    <x v="14"/>
    <x v="2"/>
    <x v="0"/>
    <n v="687491"/>
    <n v="126969"/>
  </r>
  <r>
    <x v="14"/>
    <x v="2"/>
    <x v="1"/>
    <n v="52906"/>
    <n v="14399"/>
  </r>
  <r>
    <x v="14"/>
    <x v="2"/>
    <x v="2"/>
    <n v="534542"/>
    <n v="446374"/>
  </r>
  <r>
    <x v="14"/>
    <x v="2"/>
    <x v="3"/>
    <n v="335006"/>
    <n v="157138"/>
  </r>
  <r>
    <x v="14"/>
    <x v="2"/>
    <x v="4"/>
    <n v="86617"/>
    <n v="76595"/>
  </r>
  <r>
    <x v="14"/>
    <x v="2"/>
    <x v="5"/>
    <n v="52769"/>
    <n v="12256"/>
  </r>
  <r>
    <x v="14"/>
    <x v="2"/>
    <x v="6"/>
    <n v="27268"/>
    <n v="7392"/>
  </r>
  <r>
    <x v="14"/>
    <x v="2"/>
    <x v="7"/>
    <n v="334299"/>
    <n v="195979"/>
  </r>
  <r>
    <x v="14"/>
    <x v="2"/>
    <x v="8"/>
    <n v="86216"/>
    <n v="6018"/>
  </r>
  <r>
    <x v="14"/>
    <x v="2"/>
    <x v="9"/>
    <n v="73470"/>
    <n v="50276"/>
  </r>
  <r>
    <x v="14"/>
    <x v="3"/>
    <x v="0"/>
    <n v="687345"/>
    <n v="44054"/>
  </r>
  <r>
    <x v="14"/>
    <x v="3"/>
    <x v="1"/>
    <n v="52886"/>
    <n v="5248"/>
  </r>
  <r>
    <x v="14"/>
    <x v="3"/>
    <x v="2"/>
    <n v="534271"/>
    <n v="322099"/>
  </r>
  <r>
    <x v="14"/>
    <x v="3"/>
    <x v="3"/>
    <n v="334067"/>
    <n v="69987"/>
  </r>
  <r>
    <x v="14"/>
    <x v="3"/>
    <x v="4"/>
    <n v="86389"/>
    <n v="60359"/>
  </r>
  <r>
    <x v="14"/>
    <x v="3"/>
    <x v="5"/>
    <n v="52634"/>
    <n v="4431"/>
  </r>
  <r>
    <x v="14"/>
    <x v="3"/>
    <x v="6"/>
    <n v="27034"/>
    <n v="2651"/>
  </r>
  <r>
    <x v="14"/>
    <x v="3"/>
    <x v="7"/>
    <n v="334724"/>
    <n v="99415"/>
  </r>
  <r>
    <x v="14"/>
    <x v="3"/>
    <x v="8"/>
    <n v="85949"/>
    <n v="1858"/>
  </r>
  <r>
    <x v="14"/>
    <x v="3"/>
    <x v="9"/>
    <n v="73517"/>
    <n v="29065"/>
  </r>
  <r>
    <x v="15"/>
    <x v="0"/>
    <x v="0"/>
    <n v="2203899"/>
    <n v="223491"/>
  </r>
  <r>
    <x v="15"/>
    <x v="0"/>
    <x v="1"/>
    <n v="169744"/>
    <n v="26301"/>
  </r>
  <r>
    <x v="15"/>
    <x v="0"/>
    <x v="2"/>
    <n v="1699683"/>
    <n v="1215511"/>
  </r>
  <r>
    <x v="15"/>
    <x v="0"/>
    <x v="3"/>
    <n v="1070089"/>
    <n v="327246"/>
  </r>
  <r>
    <x v="15"/>
    <x v="0"/>
    <x v="4"/>
    <n v="273202"/>
    <n v="216457"/>
  </r>
  <r>
    <x v="15"/>
    <x v="0"/>
    <x v="5"/>
    <n v="169529"/>
    <n v="22002"/>
  </r>
  <r>
    <x v="15"/>
    <x v="0"/>
    <x v="6"/>
    <n v="85790"/>
    <n v="13373"/>
  </r>
  <r>
    <x v="15"/>
    <x v="0"/>
    <x v="7"/>
    <n v="1068072"/>
    <n v="439990"/>
  </r>
  <r>
    <x v="15"/>
    <x v="0"/>
    <x v="8"/>
    <n v="273582"/>
    <n v="9653"/>
  </r>
  <r>
    <x v="15"/>
    <x v="0"/>
    <x v="9"/>
    <n v="236599"/>
    <n v="123213"/>
  </r>
  <r>
    <x v="15"/>
    <x v="1"/>
    <x v="0"/>
    <n v="368011"/>
    <n v="114499"/>
  </r>
  <r>
    <x v="15"/>
    <x v="1"/>
    <x v="1"/>
    <n v="28178"/>
    <n v="11869"/>
  </r>
  <r>
    <x v="15"/>
    <x v="1"/>
    <x v="2"/>
    <n v="284210"/>
    <n v="258567"/>
  </r>
  <r>
    <x v="15"/>
    <x v="1"/>
    <x v="3"/>
    <n v="177915"/>
    <n v="113386"/>
  </r>
  <r>
    <x v="15"/>
    <x v="1"/>
    <x v="4"/>
    <n v="45450"/>
    <n v="42682"/>
  </r>
  <r>
    <x v="15"/>
    <x v="1"/>
    <x v="5"/>
    <n v="28436"/>
    <n v="10581"/>
  </r>
  <r>
    <x v="15"/>
    <x v="1"/>
    <x v="6"/>
    <n v="14150"/>
    <n v="5910"/>
  </r>
  <r>
    <x v="15"/>
    <x v="1"/>
    <x v="7"/>
    <n v="178829"/>
    <n v="132056"/>
  </r>
  <r>
    <x v="15"/>
    <x v="1"/>
    <x v="8"/>
    <n v="45583"/>
    <n v="5840"/>
  </r>
  <r>
    <x v="15"/>
    <x v="1"/>
    <x v="9"/>
    <n v="39286"/>
    <n v="31843"/>
  </r>
  <r>
    <x v="15"/>
    <x v="2"/>
    <x v="0"/>
    <n v="732415"/>
    <n v="134507"/>
  </r>
  <r>
    <x v="15"/>
    <x v="2"/>
    <x v="1"/>
    <n v="56833"/>
    <n v="15073"/>
  </r>
  <r>
    <x v="15"/>
    <x v="2"/>
    <x v="2"/>
    <n v="566715"/>
    <n v="472493"/>
  </r>
  <r>
    <x v="15"/>
    <x v="2"/>
    <x v="3"/>
    <n v="355434"/>
    <n v="166315"/>
  </r>
  <r>
    <x v="15"/>
    <x v="2"/>
    <x v="4"/>
    <n v="91133"/>
    <n v="80671"/>
  </r>
  <r>
    <x v="15"/>
    <x v="2"/>
    <x v="5"/>
    <n v="56224"/>
    <n v="13129"/>
  </r>
  <r>
    <x v="15"/>
    <x v="2"/>
    <x v="6"/>
    <n v="28427"/>
    <n v="7543"/>
  </r>
  <r>
    <x v="15"/>
    <x v="2"/>
    <x v="7"/>
    <n v="355344"/>
    <n v="208310"/>
  </r>
  <r>
    <x v="15"/>
    <x v="2"/>
    <x v="8"/>
    <n v="90897"/>
    <n v="6129"/>
  </r>
  <r>
    <x v="15"/>
    <x v="2"/>
    <x v="9"/>
    <n v="78692"/>
    <n v="53819"/>
  </r>
  <r>
    <x v="15"/>
    <x v="3"/>
    <x v="0"/>
    <n v="734870"/>
    <n v="46488"/>
  </r>
  <r>
    <x v="15"/>
    <x v="3"/>
    <x v="1"/>
    <n v="56539"/>
    <n v="5568"/>
  </r>
  <r>
    <x v="15"/>
    <x v="3"/>
    <x v="2"/>
    <n v="567210"/>
    <n v="340680"/>
  </r>
  <r>
    <x v="15"/>
    <x v="3"/>
    <x v="3"/>
    <n v="356508"/>
    <n v="74398"/>
  </r>
  <r>
    <x v="15"/>
    <x v="3"/>
    <x v="4"/>
    <n v="91130"/>
    <n v="63082"/>
  </r>
  <r>
    <x v="15"/>
    <x v="3"/>
    <x v="5"/>
    <n v="56416"/>
    <n v="4684"/>
  </r>
  <r>
    <x v="15"/>
    <x v="3"/>
    <x v="6"/>
    <n v="28690"/>
    <n v="2775"/>
  </r>
  <r>
    <x v="15"/>
    <x v="3"/>
    <x v="7"/>
    <n v="355628"/>
    <n v="105304"/>
  </r>
  <r>
    <x v="15"/>
    <x v="3"/>
    <x v="8"/>
    <n v="90905"/>
    <n v="1931"/>
  </r>
  <r>
    <x v="15"/>
    <x v="3"/>
    <x v="9"/>
    <n v="78460"/>
    <n v="30903"/>
  </r>
  <r>
    <x v="16"/>
    <x v="0"/>
    <x v="0"/>
    <n v="2340561"/>
    <n v="235715"/>
  </r>
  <r>
    <x v="16"/>
    <x v="0"/>
    <x v="1"/>
    <n v="180603"/>
    <n v="27690"/>
  </r>
  <r>
    <x v="16"/>
    <x v="0"/>
    <x v="2"/>
    <n v="1798194"/>
    <n v="1283154"/>
  </r>
  <r>
    <x v="16"/>
    <x v="0"/>
    <x v="3"/>
    <n v="1135263"/>
    <n v="344644"/>
  </r>
  <r>
    <x v="16"/>
    <x v="0"/>
    <x v="4"/>
    <n v="287612"/>
    <n v="227165"/>
  </r>
  <r>
    <x v="16"/>
    <x v="0"/>
    <x v="5"/>
    <n v="179610"/>
    <n v="23633"/>
  </r>
  <r>
    <x v="16"/>
    <x v="0"/>
    <x v="6"/>
    <n v="89386"/>
    <n v="13787"/>
  </r>
  <r>
    <x v="16"/>
    <x v="0"/>
    <x v="7"/>
    <n v="1134186"/>
    <n v="467079"/>
  </r>
  <r>
    <x v="16"/>
    <x v="0"/>
    <x v="8"/>
    <n v="287587"/>
    <n v="9752"/>
  </r>
  <r>
    <x v="16"/>
    <x v="0"/>
    <x v="9"/>
    <n v="252107"/>
    <n v="131156"/>
  </r>
  <r>
    <x v="16"/>
    <x v="1"/>
    <x v="0"/>
    <n v="390973"/>
    <n v="121069"/>
  </r>
  <r>
    <x v="16"/>
    <x v="1"/>
    <x v="1"/>
    <n v="30121"/>
    <n v="12633"/>
  </r>
  <r>
    <x v="16"/>
    <x v="1"/>
    <x v="2"/>
    <n v="299800"/>
    <n v="272455"/>
  </r>
  <r>
    <x v="16"/>
    <x v="1"/>
    <x v="3"/>
    <n v="189348"/>
    <n v="120641"/>
  </r>
  <r>
    <x v="16"/>
    <x v="1"/>
    <x v="4"/>
    <n v="48155"/>
    <n v="45160"/>
  </r>
  <r>
    <x v="16"/>
    <x v="1"/>
    <x v="5"/>
    <n v="30014"/>
    <n v="11311"/>
  </r>
  <r>
    <x v="16"/>
    <x v="1"/>
    <x v="6"/>
    <n v="14818"/>
    <n v="6217"/>
  </r>
  <r>
    <x v="16"/>
    <x v="1"/>
    <x v="7"/>
    <n v="188586"/>
    <n v="139099"/>
  </r>
  <r>
    <x v="16"/>
    <x v="1"/>
    <x v="8"/>
    <n v="48037"/>
    <n v="5894"/>
  </r>
  <r>
    <x v="16"/>
    <x v="1"/>
    <x v="9"/>
    <n v="42024"/>
    <n v="34157"/>
  </r>
  <r>
    <x v="16"/>
    <x v="2"/>
    <x v="0"/>
    <n v="781034"/>
    <n v="142947"/>
  </r>
  <r>
    <x v="16"/>
    <x v="2"/>
    <x v="1"/>
    <n v="60097"/>
    <n v="16099"/>
  </r>
  <r>
    <x v="16"/>
    <x v="2"/>
    <x v="2"/>
    <n v="600224"/>
    <n v="500303"/>
  </r>
  <r>
    <x v="16"/>
    <x v="2"/>
    <x v="3"/>
    <n v="377534"/>
    <n v="175642"/>
  </r>
  <r>
    <x v="16"/>
    <x v="2"/>
    <x v="4"/>
    <n v="95707"/>
    <n v="84445"/>
  </r>
  <r>
    <x v="16"/>
    <x v="2"/>
    <x v="5"/>
    <n v="60602"/>
    <n v="14283"/>
  </r>
  <r>
    <x v="16"/>
    <x v="2"/>
    <x v="6"/>
    <n v="29579"/>
    <n v="7913"/>
  </r>
  <r>
    <x v="16"/>
    <x v="2"/>
    <x v="7"/>
    <n v="379163"/>
    <n v="221366"/>
  </r>
  <r>
    <x v="16"/>
    <x v="2"/>
    <x v="8"/>
    <n v="95507"/>
    <n v="6356"/>
  </r>
  <r>
    <x v="16"/>
    <x v="2"/>
    <x v="9"/>
    <n v="83969"/>
    <n v="57458"/>
  </r>
  <r>
    <x v="16"/>
    <x v="3"/>
    <x v="0"/>
    <n v="781667"/>
    <n v="49394"/>
  </r>
  <r>
    <x v="16"/>
    <x v="3"/>
    <x v="1"/>
    <n v="60296"/>
    <n v="5885"/>
  </r>
  <r>
    <x v="16"/>
    <x v="3"/>
    <x v="2"/>
    <n v="599820"/>
    <n v="359603"/>
  </r>
  <r>
    <x v="16"/>
    <x v="3"/>
    <x v="3"/>
    <n v="377828"/>
    <n v="78196"/>
  </r>
  <r>
    <x v="16"/>
    <x v="3"/>
    <x v="4"/>
    <n v="96043"/>
    <n v="66723"/>
  </r>
  <r>
    <x v="16"/>
    <x v="3"/>
    <x v="5"/>
    <n v="59845"/>
    <n v="5002"/>
  </r>
  <r>
    <x v="16"/>
    <x v="3"/>
    <x v="6"/>
    <n v="30076"/>
    <n v="3015"/>
  </r>
  <r>
    <x v="16"/>
    <x v="3"/>
    <x v="7"/>
    <n v="378980"/>
    <n v="111620"/>
  </r>
  <r>
    <x v="16"/>
    <x v="3"/>
    <x v="8"/>
    <n v="95762"/>
    <n v="2004"/>
  </r>
  <r>
    <x v="16"/>
    <x v="3"/>
    <x v="9"/>
    <n v="84477"/>
    <n v="33241"/>
  </r>
  <r>
    <x v="17"/>
    <x v="0"/>
    <x v="0"/>
    <n v="2484569"/>
    <n v="248895"/>
  </r>
  <r>
    <x v="17"/>
    <x v="0"/>
    <x v="1"/>
    <n v="190670"/>
    <n v="29086"/>
  </r>
  <r>
    <x v="17"/>
    <x v="0"/>
    <x v="2"/>
    <n v="1895023"/>
    <n v="1349795"/>
  </r>
  <r>
    <x v="17"/>
    <x v="0"/>
    <x v="3"/>
    <n v="1201192"/>
    <n v="363630"/>
  </r>
  <r>
    <x v="17"/>
    <x v="0"/>
    <x v="4"/>
    <n v="300546"/>
    <n v="236952"/>
  </r>
  <r>
    <x v="17"/>
    <x v="0"/>
    <x v="5"/>
    <n v="192023"/>
    <n v="25172"/>
  </r>
  <r>
    <x v="17"/>
    <x v="0"/>
    <x v="6"/>
    <n v="93758"/>
    <n v="14165"/>
  </r>
  <r>
    <x v="17"/>
    <x v="0"/>
    <x v="7"/>
    <n v="1201206"/>
    <n v="491565"/>
  </r>
  <r>
    <x v="17"/>
    <x v="0"/>
    <x v="8"/>
    <n v="300013"/>
    <n v="10016"/>
  </r>
  <r>
    <x v="17"/>
    <x v="0"/>
    <x v="9"/>
    <n v="269150"/>
    <n v="138957"/>
  </r>
  <r>
    <x v="17"/>
    <x v="1"/>
    <x v="0"/>
    <n v="414638"/>
    <n v="127367"/>
  </r>
  <r>
    <x v="17"/>
    <x v="1"/>
    <x v="1"/>
    <n v="31939"/>
    <n v="13269"/>
  </r>
  <r>
    <x v="17"/>
    <x v="1"/>
    <x v="2"/>
    <n v="315560"/>
    <n v="286517"/>
  </r>
  <r>
    <x v="17"/>
    <x v="1"/>
    <x v="3"/>
    <n v="200153"/>
    <n v="126760"/>
  </r>
  <r>
    <x v="17"/>
    <x v="1"/>
    <x v="4"/>
    <n v="50184"/>
    <n v="46993"/>
  </r>
  <r>
    <x v="17"/>
    <x v="1"/>
    <x v="5"/>
    <n v="31689"/>
    <n v="11895"/>
  </r>
  <r>
    <x v="17"/>
    <x v="1"/>
    <x v="6"/>
    <n v="15575"/>
    <n v="6522"/>
  </r>
  <r>
    <x v="17"/>
    <x v="1"/>
    <x v="7"/>
    <n v="200128"/>
    <n v="146989"/>
  </r>
  <r>
    <x v="17"/>
    <x v="1"/>
    <x v="8"/>
    <n v="50632"/>
    <n v="6030"/>
  </r>
  <r>
    <x v="17"/>
    <x v="1"/>
    <x v="9"/>
    <n v="44664"/>
    <n v="36007"/>
  </r>
  <r>
    <x v="17"/>
    <x v="2"/>
    <x v="0"/>
    <n v="827302"/>
    <n v="150423"/>
  </r>
  <r>
    <x v="17"/>
    <x v="2"/>
    <x v="1"/>
    <n v="63725"/>
    <n v="16747"/>
  </r>
  <r>
    <x v="17"/>
    <x v="2"/>
    <x v="2"/>
    <n v="632096"/>
    <n v="525821"/>
  </r>
  <r>
    <x v="17"/>
    <x v="2"/>
    <x v="3"/>
    <n v="401272"/>
    <n v="186095"/>
  </r>
  <r>
    <x v="17"/>
    <x v="2"/>
    <x v="4"/>
    <n v="100194"/>
    <n v="88439"/>
  </r>
  <r>
    <x v="17"/>
    <x v="2"/>
    <x v="5"/>
    <n v="63498"/>
    <n v="14789"/>
  </r>
  <r>
    <x v="17"/>
    <x v="2"/>
    <x v="6"/>
    <n v="31192"/>
    <n v="8183"/>
  </r>
  <r>
    <x v="17"/>
    <x v="2"/>
    <x v="7"/>
    <n v="401104"/>
    <n v="233566"/>
  </r>
  <r>
    <x v="17"/>
    <x v="2"/>
    <x v="8"/>
    <n v="100382"/>
    <n v="6280"/>
  </r>
  <r>
    <x v="17"/>
    <x v="2"/>
    <x v="9"/>
    <n v="90018"/>
    <n v="61396"/>
  </r>
  <r>
    <x v="17"/>
    <x v="3"/>
    <x v="0"/>
    <n v="827600"/>
    <n v="51668"/>
  </r>
  <r>
    <x v="17"/>
    <x v="3"/>
    <x v="1"/>
    <n v="64018"/>
    <n v="6333"/>
  </r>
  <r>
    <x v="17"/>
    <x v="3"/>
    <x v="2"/>
    <n v="632797"/>
    <n v="377942"/>
  </r>
  <r>
    <x v="17"/>
    <x v="3"/>
    <x v="3"/>
    <n v="400771"/>
    <n v="82276"/>
  </r>
  <r>
    <x v="17"/>
    <x v="3"/>
    <x v="4"/>
    <n v="100314"/>
    <n v="69491"/>
  </r>
  <r>
    <x v="17"/>
    <x v="3"/>
    <x v="5"/>
    <n v="64292"/>
    <n v="5438"/>
  </r>
  <r>
    <x v="17"/>
    <x v="3"/>
    <x v="6"/>
    <n v="30842"/>
    <n v="3035"/>
  </r>
  <r>
    <x v="17"/>
    <x v="3"/>
    <x v="7"/>
    <n v="400249"/>
    <n v="118270"/>
  </r>
  <r>
    <x v="17"/>
    <x v="3"/>
    <x v="8"/>
    <n v="100281"/>
    <n v="1951"/>
  </r>
  <r>
    <x v="17"/>
    <x v="3"/>
    <x v="9"/>
    <n v="89638"/>
    <n v="35231"/>
  </r>
  <r>
    <x v="18"/>
    <x v="0"/>
    <x v="0"/>
    <n v="2626091"/>
    <n v="261525"/>
  </r>
  <r>
    <x v="18"/>
    <x v="0"/>
    <x v="1"/>
    <n v="202300"/>
    <n v="30599"/>
  </r>
  <r>
    <x v="18"/>
    <x v="0"/>
    <x v="2"/>
    <n v="1994736"/>
    <n v="1418777"/>
  </r>
  <r>
    <x v="18"/>
    <x v="0"/>
    <x v="3"/>
    <n v="1270038"/>
    <n v="381759"/>
  </r>
  <r>
    <x v="18"/>
    <x v="0"/>
    <x v="4"/>
    <n v="314814"/>
    <n v="247845"/>
  </r>
  <r>
    <x v="18"/>
    <x v="0"/>
    <x v="5"/>
    <n v="202464"/>
    <n v="26101"/>
  </r>
  <r>
    <x v="18"/>
    <x v="0"/>
    <x v="6"/>
    <n v="96473"/>
    <n v="14618"/>
  </r>
  <r>
    <x v="18"/>
    <x v="0"/>
    <x v="7"/>
    <n v="1267668"/>
    <n v="520179"/>
  </r>
  <r>
    <x v="18"/>
    <x v="0"/>
    <x v="8"/>
    <n v="314963"/>
    <n v="10125"/>
  </r>
  <r>
    <x v="18"/>
    <x v="0"/>
    <x v="9"/>
    <n v="284788"/>
    <n v="147101"/>
  </r>
  <r>
    <x v="18"/>
    <x v="1"/>
    <x v="0"/>
    <n v="436836"/>
    <n v="134085"/>
  </r>
  <r>
    <x v="18"/>
    <x v="1"/>
    <x v="1"/>
    <n v="33628"/>
    <n v="14091"/>
  </r>
  <r>
    <x v="18"/>
    <x v="1"/>
    <x v="2"/>
    <n v="332420"/>
    <n v="301635"/>
  </r>
  <r>
    <x v="18"/>
    <x v="1"/>
    <x v="3"/>
    <n v="211589"/>
    <n v="133346"/>
  </r>
  <r>
    <x v="18"/>
    <x v="1"/>
    <x v="4"/>
    <n v="52217"/>
    <n v="48978"/>
  </r>
  <r>
    <x v="18"/>
    <x v="1"/>
    <x v="5"/>
    <n v="33833"/>
    <n v="12770"/>
  </r>
  <r>
    <x v="18"/>
    <x v="1"/>
    <x v="6"/>
    <n v="16174"/>
    <n v="6718"/>
  </r>
  <r>
    <x v="18"/>
    <x v="1"/>
    <x v="7"/>
    <n v="212509"/>
    <n v="156357"/>
  </r>
  <r>
    <x v="18"/>
    <x v="1"/>
    <x v="8"/>
    <n v="52233"/>
    <n v="5939"/>
  </r>
  <r>
    <x v="18"/>
    <x v="1"/>
    <x v="9"/>
    <n v="47224"/>
    <n v="38291"/>
  </r>
  <r>
    <x v="18"/>
    <x v="2"/>
    <x v="0"/>
    <n v="876332"/>
    <n v="158760"/>
  </r>
  <r>
    <x v="18"/>
    <x v="2"/>
    <x v="1"/>
    <n v="67593"/>
    <n v="17671"/>
  </r>
  <r>
    <x v="18"/>
    <x v="2"/>
    <x v="2"/>
    <n v="664272"/>
    <n v="551515"/>
  </r>
  <r>
    <x v="18"/>
    <x v="2"/>
    <x v="3"/>
    <n v="421672"/>
    <n v="194692"/>
  </r>
  <r>
    <x v="18"/>
    <x v="2"/>
    <x v="4"/>
    <n v="105005"/>
    <n v="92406"/>
  </r>
  <r>
    <x v="18"/>
    <x v="2"/>
    <x v="5"/>
    <n v="67249"/>
    <n v="15699"/>
  </r>
  <r>
    <x v="18"/>
    <x v="2"/>
    <x v="6"/>
    <n v="32196"/>
    <n v="8445"/>
  </r>
  <r>
    <x v="18"/>
    <x v="2"/>
    <x v="7"/>
    <n v="422508"/>
    <n v="245253"/>
  </r>
  <r>
    <x v="18"/>
    <x v="2"/>
    <x v="8"/>
    <n v="105003"/>
    <n v="6390"/>
  </r>
  <r>
    <x v="18"/>
    <x v="2"/>
    <x v="9"/>
    <n v="95188"/>
    <n v="64697"/>
  </r>
  <r>
    <x v="18"/>
    <x v="3"/>
    <x v="0"/>
    <n v="876856"/>
    <n v="54509"/>
  </r>
  <r>
    <x v="18"/>
    <x v="3"/>
    <x v="1"/>
    <n v="68138"/>
    <n v="6658"/>
  </r>
  <r>
    <x v="18"/>
    <x v="3"/>
    <x v="2"/>
    <n v="664887"/>
    <n v="396227"/>
  </r>
  <r>
    <x v="18"/>
    <x v="3"/>
    <x v="3"/>
    <n v="422301"/>
    <n v="86366"/>
  </r>
  <r>
    <x v="18"/>
    <x v="3"/>
    <x v="4"/>
    <n v="104921"/>
    <n v="72370"/>
  </r>
  <r>
    <x v="18"/>
    <x v="3"/>
    <x v="5"/>
    <n v="67690"/>
    <n v="5563"/>
  </r>
  <r>
    <x v="18"/>
    <x v="3"/>
    <x v="6"/>
    <n v="32000"/>
    <n v="3072"/>
  </r>
  <r>
    <x v="18"/>
    <x v="3"/>
    <x v="7"/>
    <n v="422760"/>
    <n v="124839"/>
  </r>
  <r>
    <x v="18"/>
    <x v="3"/>
    <x v="8"/>
    <n v="104466"/>
    <n v="1984"/>
  </r>
  <r>
    <x v="18"/>
    <x v="3"/>
    <x v="9"/>
    <n v="94939"/>
    <n v="37148"/>
  </r>
  <r>
    <x v="19"/>
    <x v="0"/>
    <x v="0"/>
    <n v="2770866"/>
    <n v="274294"/>
  </r>
  <r>
    <x v="19"/>
    <x v="0"/>
    <x v="1"/>
    <n v="214350"/>
    <n v="32161"/>
  </r>
  <r>
    <x v="19"/>
    <x v="0"/>
    <x v="2"/>
    <n v="2092631"/>
    <n v="1484697"/>
  </r>
  <r>
    <x v="19"/>
    <x v="0"/>
    <x v="3"/>
    <n v="1339047"/>
    <n v="399177"/>
  </r>
  <r>
    <x v="19"/>
    <x v="0"/>
    <x v="4"/>
    <n v="327276"/>
    <n v="257230"/>
  </r>
  <r>
    <x v="19"/>
    <x v="0"/>
    <x v="5"/>
    <n v="214151"/>
    <n v="27975"/>
  </r>
  <r>
    <x v="19"/>
    <x v="0"/>
    <x v="6"/>
    <n v="100785"/>
    <n v="14919"/>
  </r>
  <r>
    <x v="19"/>
    <x v="0"/>
    <x v="7"/>
    <n v="1333096"/>
    <n v="545061"/>
  </r>
  <r>
    <x v="19"/>
    <x v="0"/>
    <x v="8"/>
    <n v="327624"/>
    <n v="10073"/>
  </r>
  <r>
    <x v="19"/>
    <x v="0"/>
    <x v="9"/>
    <n v="302363"/>
    <n v="155872"/>
  </r>
  <r>
    <x v="19"/>
    <x v="1"/>
    <x v="0"/>
    <n v="462634"/>
    <n v="140796"/>
  </r>
  <r>
    <x v="19"/>
    <x v="1"/>
    <x v="1"/>
    <n v="35754"/>
    <n v="14784"/>
  </r>
  <r>
    <x v="19"/>
    <x v="1"/>
    <x v="2"/>
    <n v="348461"/>
    <n v="316102"/>
  </r>
  <r>
    <x v="19"/>
    <x v="1"/>
    <x v="3"/>
    <n v="222970"/>
    <n v="140230"/>
  </r>
  <r>
    <x v="19"/>
    <x v="1"/>
    <x v="4"/>
    <n v="54400"/>
    <n v="50936"/>
  </r>
  <r>
    <x v="19"/>
    <x v="1"/>
    <x v="5"/>
    <n v="35836"/>
    <n v="13354"/>
  </r>
  <r>
    <x v="19"/>
    <x v="1"/>
    <x v="6"/>
    <n v="16772"/>
    <n v="6965"/>
  </r>
  <r>
    <x v="19"/>
    <x v="1"/>
    <x v="7"/>
    <n v="222819"/>
    <n v="163535"/>
  </r>
  <r>
    <x v="19"/>
    <x v="1"/>
    <x v="8"/>
    <n v="54711"/>
    <n v="6242"/>
  </r>
  <r>
    <x v="19"/>
    <x v="1"/>
    <x v="9"/>
    <n v="50282"/>
    <n v="40654"/>
  </r>
  <r>
    <x v="19"/>
    <x v="2"/>
    <x v="0"/>
    <n v="923391"/>
    <n v="165974"/>
  </r>
  <r>
    <x v="19"/>
    <x v="2"/>
    <x v="1"/>
    <n v="71064"/>
    <n v="18383"/>
  </r>
  <r>
    <x v="19"/>
    <x v="2"/>
    <x v="2"/>
    <n v="696559"/>
    <n v="578473"/>
  </r>
  <r>
    <x v="19"/>
    <x v="2"/>
    <x v="3"/>
    <n v="445300"/>
    <n v="205368"/>
  </r>
  <r>
    <x v="19"/>
    <x v="2"/>
    <x v="4"/>
    <n v="108851"/>
    <n v="95917"/>
  </r>
  <r>
    <x v="19"/>
    <x v="2"/>
    <x v="5"/>
    <n v="71785"/>
    <n v="16475"/>
  </r>
  <r>
    <x v="19"/>
    <x v="2"/>
    <x v="6"/>
    <n v="33739"/>
    <n v="8727"/>
  </r>
  <r>
    <x v="19"/>
    <x v="2"/>
    <x v="7"/>
    <n v="444495"/>
    <n v="258353"/>
  </r>
  <r>
    <x v="19"/>
    <x v="2"/>
    <x v="8"/>
    <n v="109114"/>
    <n v="6507"/>
  </r>
  <r>
    <x v="19"/>
    <x v="2"/>
    <x v="9"/>
    <n v="101330"/>
    <n v="69093"/>
  </r>
  <r>
    <x v="19"/>
    <x v="3"/>
    <x v="0"/>
    <n v="923877"/>
    <n v="56605"/>
  </r>
  <r>
    <x v="19"/>
    <x v="3"/>
    <x v="1"/>
    <n v="71385"/>
    <n v="6791"/>
  </r>
  <r>
    <x v="19"/>
    <x v="3"/>
    <x v="2"/>
    <n v="697009"/>
    <n v="414169"/>
  </r>
  <r>
    <x v="19"/>
    <x v="3"/>
    <x v="3"/>
    <n v="445279"/>
    <n v="90823"/>
  </r>
  <r>
    <x v="19"/>
    <x v="3"/>
    <x v="4"/>
    <n v="108866"/>
    <n v="74904"/>
  </r>
  <r>
    <x v="19"/>
    <x v="3"/>
    <x v="5"/>
    <n v="71053"/>
    <n v="5881"/>
  </r>
  <r>
    <x v="19"/>
    <x v="3"/>
    <x v="6"/>
    <n v="33494"/>
    <n v="3264"/>
  </r>
  <r>
    <x v="19"/>
    <x v="3"/>
    <x v="7"/>
    <n v="446162"/>
    <n v="131210"/>
  </r>
  <r>
    <x v="19"/>
    <x v="3"/>
    <x v="8"/>
    <n v="108845"/>
    <n v="2004"/>
  </r>
  <r>
    <x v="19"/>
    <x v="3"/>
    <x v="9"/>
    <n v="100934"/>
    <n v="390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x v="0"/>
    <x v="0"/>
    <x v="0"/>
    <n v="241655"/>
    <n v="26787"/>
  </r>
  <r>
    <x v="0"/>
    <x v="0"/>
    <x v="1"/>
    <n v="18041"/>
    <n v="3230"/>
  </r>
  <r>
    <x v="0"/>
    <x v="0"/>
    <x v="2"/>
    <n v="101680"/>
    <n v="75034"/>
  </r>
  <r>
    <x v="0"/>
    <x v="0"/>
    <x v="3"/>
    <n v="120393"/>
    <n v="39988"/>
  </r>
  <r>
    <x v="0"/>
    <x v="0"/>
    <x v="4"/>
    <n v="35729"/>
    <n v="29274"/>
  </r>
  <r>
    <x v="0"/>
    <x v="0"/>
    <x v="5"/>
    <n v="17891"/>
    <n v="2522"/>
  </r>
  <r>
    <x v="0"/>
    <x v="0"/>
    <x v="6"/>
    <n v="11762"/>
    <n v="2063"/>
  </r>
  <r>
    <x v="0"/>
    <x v="0"/>
    <x v="7"/>
    <n v="120293"/>
    <n v="51068"/>
  </r>
  <r>
    <x v="0"/>
    <x v="0"/>
    <x v="8"/>
    <n v="35746"/>
    <n v="1853"/>
  </r>
  <r>
    <x v="0"/>
    <x v="0"/>
    <x v="9"/>
    <n v="24315"/>
    <n v="13114"/>
  </r>
  <r>
    <x v="0"/>
    <x v="1"/>
    <x v="0"/>
    <n v="39980"/>
    <n v="13242"/>
  </r>
  <r>
    <x v="0"/>
    <x v="1"/>
    <x v="1"/>
    <n v="3013"/>
    <n v="1372"/>
  </r>
  <r>
    <x v="0"/>
    <x v="1"/>
    <x v="2"/>
    <n v="17037"/>
    <n v="15643"/>
  </r>
  <r>
    <x v="0"/>
    <x v="1"/>
    <x v="3"/>
    <n v="20099"/>
    <n v="13367"/>
  </r>
  <r>
    <x v="0"/>
    <x v="1"/>
    <x v="4"/>
    <n v="5927"/>
    <n v="5642"/>
  </r>
  <r>
    <x v="0"/>
    <x v="1"/>
    <x v="5"/>
    <n v="2977"/>
    <n v="1228"/>
  </r>
  <r>
    <x v="0"/>
    <x v="1"/>
    <x v="6"/>
    <n v="1942"/>
    <n v="921"/>
  </r>
  <r>
    <x v="0"/>
    <x v="1"/>
    <x v="7"/>
    <n v="19892"/>
    <n v="14849"/>
  </r>
  <r>
    <x v="0"/>
    <x v="1"/>
    <x v="8"/>
    <n v="6058"/>
    <n v="1033"/>
  </r>
  <r>
    <x v="0"/>
    <x v="1"/>
    <x v="9"/>
    <n v="4150"/>
    <n v="3398"/>
  </r>
  <r>
    <x v="0"/>
    <x v="2"/>
    <x v="0"/>
    <n v="80590"/>
    <n v="16173"/>
  </r>
  <r>
    <x v="0"/>
    <x v="2"/>
    <x v="1"/>
    <n v="5976"/>
    <n v="1782"/>
  </r>
  <r>
    <x v="0"/>
    <x v="2"/>
    <x v="2"/>
    <n v="34203"/>
    <n v="29132"/>
  </r>
  <r>
    <x v="0"/>
    <x v="2"/>
    <x v="3"/>
    <n v="40579"/>
    <n v="20102"/>
  </r>
  <r>
    <x v="0"/>
    <x v="2"/>
    <x v="4"/>
    <n v="11836"/>
    <n v="10632"/>
  </r>
  <r>
    <x v="0"/>
    <x v="2"/>
    <x v="5"/>
    <n v="6128"/>
    <n v="1531"/>
  </r>
  <r>
    <x v="0"/>
    <x v="2"/>
    <x v="6"/>
    <n v="4035"/>
    <n v="1237"/>
  </r>
  <r>
    <x v="0"/>
    <x v="2"/>
    <x v="7"/>
    <n v="40456"/>
    <n v="24168"/>
  </r>
  <r>
    <x v="0"/>
    <x v="2"/>
    <x v="8"/>
    <n v="11895"/>
    <n v="1135"/>
  </r>
  <r>
    <x v="0"/>
    <x v="2"/>
    <x v="9"/>
    <n v="8144"/>
    <n v="5621"/>
  </r>
  <r>
    <x v="0"/>
    <x v="3"/>
    <x v="0"/>
    <n v="80796"/>
    <n v="5707"/>
  </r>
  <r>
    <x v="0"/>
    <x v="3"/>
    <x v="1"/>
    <n v="6002"/>
    <n v="690"/>
  </r>
  <r>
    <x v="0"/>
    <x v="3"/>
    <x v="2"/>
    <n v="34200"/>
    <n v="21533"/>
  </r>
  <r>
    <x v="0"/>
    <x v="3"/>
    <x v="3"/>
    <n v="40364"/>
    <n v="9327"/>
  </r>
  <r>
    <x v="0"/>
    <x v="3"/>
    <x v="4"/>
    <n v="11839"/>
    <n v="8651"/>
  </r>
  <r>
    <x v="0"/>
    <x v="3"/>
    <x v="5"/>
    <n v="6103"/>
    <n v="554"/>
  </r>
  <r>
    <x v="0"/>
    <x v="3"/>
    <x v="6"/>
    <n v="3997"/>
    <n v="439"/>
  </r>
  <r>
    <x v="0"/>
    <x v="3"/>
    <x v="7"/>
    <n v="39899"/>
    <n v="12242"/>
  </r>
  <r>
    <x v="0"/>
    <x v="3"/>
    <x v="8"/>
    <n v="12129"/>
    <n v="414"/>
  </r>
  <r>
    <x v="0"/>
    <x v="3"/>
    <x v="9"/>
    <n v="8156"/>
    <n v="3286"/>
  </r>
  <r>
    <x v="1"/>
    <x v="0"/>
    <x v="0"/>
    <n v="364376"/>
    <n v="40109"/>
  </r>
  <r>
    <x v="1"/>
    <x v="0"/>
    <x v="1"/>
    <n v="27389"/>
    <n v="4681"/>
  </r>
  <r>
    <x v="1"/>
    <x v="0"/>
    <x v="2"/>
    <n v="152723"/>
    <n v="112238"/>
  </r>
  <r>
    <x v="1"/>
    <x v="0"/>
    <x v="3"/>
    <n v="181662"/>
    <n v="59800"/>
  </r>
  <r>
    <x v="1"/>
    <x v="0"/>
    <x v="4"/>
    <n v="53079"/>
    <n v="43220"/>
  </r>
  <r>
    <x v="1"/>
    <x v="0"/>
    <x v="5"/>
    <n v="27865"/>
    <n v="3954"/>
  </r>
  <r>
    <x v="1"/>
    <x v="0"/>
    <x v="6"/>
    <n v="17600"/>
    <n v="3044"/>
  </r>
  <r>
    <x v="1"/>
    <x v="0"/>
    <x v="7"/>
    <n v="180954"/>
    <n v="77214"/>
  </r>
  <r>
    <x v="1"/>
    <x v="0"/>
    <x v="8"/>
    <n v="53350"/>
    <n v="2731"/>
  </r>
  <r>
    <x v="1"/>
    <x v="0"/>
    <x v="9"/>
    <n v="36654"/>
    <n v="19846"/>
  </r>
  <r>
    <x v="1"/>
    <x v="1"/>
    <x v="0"/>
    <n v="60770"/>
    <n v="20190"/>
  </r>
  <r>
    <x v="1"/>
    <x v="1"/>
    <x v="1"/>
    <n v="4543"/>
    <n v="2047"/>
  </r>
  <r>
    <x v="1"/>
    <x v="1"/>
    <x v="2"/>
    <n v="25440"/>
    <n v="23321"/>
  </r>
  <r>
    <x v="1"/>
    <x v="1"/>
    <x v="3"/>
    <n v="30296"/>
    <n v="20137"/>
  </r>
  <r>
    <x v="1"/>
    <x v="1"/>
    <x v="4"/>
    <n v="8890"/>
    <n v="8438"/>
  </r>
  <r>
    <x v="1"/>
    <x v="1"/>
    <x v="5"/>
    <n v="4432"/>
    <n v="1830"/>
  </r>
  <r>
    <x v="1"/>
    <x v="1"/>
    <x v="6"/>
    <n v="2911"/>
    <n v="1379"/>
  </r>
  <r>
    <x v="1"/>
    <x v="1"/>
    <x v="7"/>
    <n v="30110"/>
    <n v="22455"/>
  </r>
  <r>
    <x v="1"/>
    <x v="1"/>
    <x v="8"/>
    <n v="8804"/>
    <n v="1536"/>
  </r>
  <r>
    <x v="1"/>
    <x v="1"/>
    <x v="9"/>
    <n v="6138"/>
    <n v="5069"/>
  </r>
  <r>
    <x v="1"/>
    <x v="2"/>
    <x v="0"/>
    <n v="120727"/>
    <n v="24062"/>
  </r>
  <r>
    <x v="1"/>
    <x v="2"/>
    <x v="1"/>
    <n v="9152"/>
    <n v="2712"/>
  </r>
  <r>
    <x v="1"/>
    <x v="2"/>
    <x v="2"/>
    <n v="51180"/>
    <n v="43401"/>
  </r>
  <r>
    <x v="1"/>
    <x v="2"/>
    <x v="3"/>
    <n v="59741"/>
    <n v="29560"/>
  </r>
  <r>
    <x v="1"/>
    <x v="2"/>
    <x v="4"/>
    <n v="17800"/>
    <n v="15978"/>
  </r>
  <r>
    <x v="1"/>
    <x v="2"/>
    <x v="5"/>
    <n v="9092"/>
    <n v="2315"/>
  </r>
  <r>
    <x v="1"/>
    <x v="2"/>
    <x v="6"/>
    <n v="5957"/>
    <n v="1733"/>
  </r>
  <r>
    <x v="1"/>
    <x v="2"/>
    <x v="7"/>
    <n v="60036"/>
    <n v="35765"/>
  </r>
  <r>
    <x v="1"/>
    <x v="2"/>
    <x v="8"/>
    <n v="17832"/>
    <n v="1772"/>
  </r>
  <r>
    <x v="1"/>
    <x v="2"/>
    <x v="9"/>
    <n v="12179"/>
    <n v="8544"/>
  </r>
  <r>
    <x v="1"/>
    <x v="3"/>
    <x v="0"/>
    <n v="120845"/>
    <n v="8336"/>
  </r>
  <r>
    <x v="1"/>
    <x v="3"/>
    <x v="1"/>
    <n v="9146"/>
    <n v="1022"/>
  </r>
  <r>
    <x v="1"/>
    <x v="3"/>
    <x v="2"/>
    <n v="50326"/>
    <n v="31518"/>
  </r>
  <r>
    <x v="1"/>
    <x v="3"/>
    <x v="3"/>
    <n v="60260"/>
    <n v="13685"/>
  </r>
  <r>
    <x v="1"/>
    <x v="3"/>
    <x v="4"/>
    <n v="17581"/>
    <n v="12831"/>
  </r>
  <r>
    <x v="1"/>
    <x v="3"/>
    <x v="5"/>
    <n v="9107"/>
    <n v="840"/>
  </r>
  <r>
    <x v="1"/>
    <x v="3"/>
    <x v="6"/>
    <n v="5851"/>
    <n v="656"/>
  </r>
  <r>
    <x v="1"/>
    <x v="3"/>
    <x v="7"/>
    <n v="60335"/>
    <n v="18580"/>
  </r>
  <r>
    <x v="1"/>
    <x v="3"/>
    <x v="8"/>
    <n v="17934"/>
    <n v="575"/>
  </r>
  <r>
    <x v="1"/>
    <x v="3"/>
    <x v="9"/>
    <n v="12255"/>
    <n v="5024"/>
  </r>
  <r>
    <x v="2"/>
    <x v="0"/>
    <x v="0"/>
    <n v="487568"/>
    <n v="53331"/>
  </r>
  <r>
    <x v="2"/>
    <x v="0"/>
    <x v="1"/>
    <n v="36442"/>
    <n v="6314"/>
  </r>
  <r>
    <x v="2"/>
    <x v="0"/>
    <x v="2"/>
    <n v="203909"/>
    <n v="149761"/>
  </r>
  <r>
    <x v="2"/>
    <x v="0"/>
    <x v="3"/>
    <n v="242499"/>
    <n v="79495"/>
  </r>
  <r>
    <x v="2"/>
    <x v="0"/>
    <x v="4"/>
    <n v="70882"/>
    <n v="57764"/>
  </r>
  <r>
    <x v="2"/>
    <x v="0"/>
    <x v="5"/>
    <n v="36555"/>
    <n v="5262"/>
  </r>
  <r>
    <x v="2"/>
    <x v="0"/>
    <x v="6"/>
    <n v="23248"/>
    <n v="4038"/>
  </r>
  <r>
    <x v="2"/>
    <x v="0"/>
    <x v="7"/>
    <n v="242405"/>
    <n v="103720"/>
  </r>
  <r>
    <x v="2"/>
    <x v="0"/>
    <x v="8"/>
    <n v="70455"/>
    <n v="3490"/>
  </r>
  <r>
    <x v="2"/>
    <x v="0"/>
    <x v="9"/>
    <n v="49320"/>
    <n v="26437"/>
  </r>
  <r>
    <x v="2"/>
    <x v="1"/>
    <x v="0"/>
    <n v="81200"/>
    <n v="26857"/>
  </r>
  <r>
    <x v="2"/>
    <x v="1"/>
    <x v="1"/>
    <n v="5984"/>
    <n v="2713"/>
  </r>
  <r>
    <x v="2"/>
    <x v="1"/>
    <x v="2"/>
    <n v="33680"/>
    <n v="30844"/>
  </r>
  <r>
    <x v="2"/>
    <x v="1"/>
    <x v="3"/>
    <n v="40526"/>
    <n v="26935"/>
  </r>
  <r>
    <x v="2"/>
    <x v="1"/>
    <x v="4"/>
    <n v="11678"/>
    <n v="11023"/>
  </r>
  <r>
    <x v="2"/>
    <x v="1"/>
    <x v="5"/>
    <n v="6246"/>
    <n v="2528"/>
  </r>
  <r>
    <x v="2"/>
    <x v="1"/>
    <x v="6"/>
    <n v="3801"/>
    <n v="1672"/>
  </r>
  <r>
    <x v="2"/>
    <x v="1"/>
    <x v="7"/>
    <n v="40604"/>
    <n v="30305"/>
  </r>
  <r>
    <x v="2"/>
    <x v="1"/>
    <x v="8"/>
    <n v="11834"/>
    <n v="1955"/>
  </r>
  <r>
    <x v="2"/>
    <x v="1"/>
    <x v="9"/>
    <n v="8263"/>
    <n v="6820"/>
  </r>
  <r>
    <x v="2"/>
    <x v="2"/>
    <x v="0"/>
    <n v="163194"/>
    <n v="32059"/>
  </r>
  <r>
    <x v="2"/>
    <x v="2"/>
    <x v="1"/>
    <n v="12244"/>
    <n v="3668"/>
  </r>
  <r>
    <x v="2"/>
    <x v="2"/>
    <x v="2"/>
    <n v="67918"/>
    <n v="57548"/>
  </r>
  <r>
    <x v="2"/>
    <x v="2"/>
    <x v="3"/>
    <n v="80737"/>
    <n v="39974"/>
  </r>
  <r>
    <x v="2"/>
    <x v="2"/>
    <x v="4"/>
    <n v="23816"/>
    <n v="21337"/>
  </r>
  <r>
    <x v="2"/>
    <x v="2"/>
    <x v="5"/>
    <n v="12350"/>
    <n v="3086"/>
  </r>
  <r>
    <x v="2"/>
    <x v="2"/>
    <x v="6"/>
    <n v="7711"/>
    <n v="2296"/>
  </r>
  <r>
    <x v="2"/>
    <x v="2"/>
    <x v="7"/>
    <n v="80908"/>
    <n v="48005"/>
  </r>
  <r>
    <x v="2"/>
    <x v="2"/>
    <x v="8"/>
    <n v="23608"/>
    <n v="2263"/>
  </r>
  <r>
    <x v="2"/>
    <x v="2"/>
    <x v="9"/>
    <n v="16852"/>
    <n v="11753"/>
  </r>
  <r>
    <x v="2"/>
    <x v="3"/>
    <x v="0"/>
    <n v="161883"/>
    <n v="11031"/>
  </r>
  <r>
    <x v="2"/>
    <x v="3"/>
    <x v="1"/>
    <n v="12412"/>
    <n v="1420"/>
  </r>
  <r>
    <x v="2"/>
    <x v="3"/>
    <x v="2"/>
    <n v="68021"/>
    <n v="42675"/>
  </r>
  <r>
    <x v="2"/>
    <x v="3"/>
    <x v="3"/>
    <n v="80478"/>
    <n v="18418"/>
  </r>
  <r>
    <x v="2"/>
    <x v="3"/>
    <x v="4"/>
    <n v="23529"/>
    <n v="17073"/>
  </r>
  <r>
    <x v="2"/>
    <x v="3"/>
    <x v="5"/>
    <n v="12112"/>
    <n v="1089"/>
  </r>
  <r>
    <x v="2"/>
    <x v="3"/>
    <x v="6"/>
    <n v="7696"/>
    <n v="838"/>
  </r>
  <r>
    <x v="2"/>
    <x v="3"/>
    <x v="7"/>
    <n v="81039"/>
    <n v="24943"/>
  </r>
  <r>
    <x v="2"/>
    <x v="3"/>
    <x v="8"/>
    <n v="23543"/>
    <n v="767"/>
  </r>
  <r>
    <x v="2"/>
    <x v="3"/>
    <x v="9"/>
    <n v="16482"/>
    <n v="6652"/>
  </r>
  <r>
    <x v="3"/>
    <x v="0"/>
    <x v="0"/>
    <n v="612804"/>
    <n v="66600"/>
  </r>
  <r>
    <x v="3"/>
    <x v="0"/>
    <x v="1"/>
    <n v="46096"/>
    <n v="7713"/>
  </r>
  <r>
    <x v="3"/>
    <x v="0"/>
    <x v="2"/>
    <n v="253369"/>
    <n v="186124"/>
  </r>
  <r>
    <x v="3"/>
    <x v="0"/>
    <x v="3"/>
    <n v="303756"/>
    <n v="99150"/>
  </r>
  <r>
    <x v="3"/>
    <x v="0"/>
    <x v="4"/>
    <n v="87699"/>
    <n v="71250"/>
  </r>
  <r>
    <x v="3"/>
    <x v="0"/>
    <x v="5"/>
    <n v="46198"/>
    <n v="6565"/>
  </r>
  <r>
    <x v="3"/>
    <x v="0"/>
    <x v="6"/>
    <n v="28886"/>
    <n v="4931"/>
  </r>
  <r>
    <x v="3"/>
    <x v="0"/>
    <x v="7"/>
    <n v="303565"/>
    <n v="128843"/>
  </r>
  <r>
    <x v="3"/>
    <x v="0"/>
    <x v="8"/>
    <n v="87339"/>
    <n v="4218"/>
  </r>
  <r>
    <x v="3"/>
    <x v="0"/>
    <x v="9"/>
    <n v="62381"/>
    <n v="33280"/>
  </r>
  <r>
    <x v="3"/>
    <x v="1"/>
    <x v="0"/>
    <n v="102159"/>
    <n v="33339"/>
  </r>
  <r>
    <x v="3"/>
    <x v="1"/>
    <x v="1"/>
    <n v="7650"/>
    <n v="3418"/>
  </r>
  <r>
    <x v="3"/>
    <x v="1"/>
    <x v="2"/>
    <n v="42175"/>
    <n v="38622"/>
  </r>
  <r>
    <x v="3"/>
    <x v="1"/>
    <x v="3"/>
    <n v="50427"/>
    <n v="33332"/>
  </r>
  <r>
    <x v="3"/>
    <x v="1"/>
    <x v="4"/>
    <n v="14640"/>
    <n v="13838"/>
  </r>
  <r>
    <x v="3"/>
    <x v="1"/>
    <x v="5"/>
    <n v="7677"/>
    <n v="3036"/>
  </r>
  <r>
    <x v="3"/>
    <x v="1"/>
    <x v="6"/>
    <n v="4833"/>
    <n v="2113"/>
  </r>
  <r>
    <x v="3"/>
    <x v="1"/>
    <x v="7"/>
    <n v="50110"/>
    <n v="37564"/>
  </r>
  <r>
    <x v="3"/>
    <x v="1"/>
    <x v="8"/>
    <n v="14713"/>
    <n v="2526"/>
  </r>
  <r>
    <x v="3"/>
    <x v="1"/>
    <x v="9"/>
    <n v="10399"/>
    <n v="8572"/>
  </r>
  <r>
    <x v="3"/>
    <x v="2"/>
    <x v="0"/>
    <n v="204411"/>
    <n v="40011"/>
  </r>
  <r>
    <x v="3"/>
    <x v="2"/>
    <x v="1"/>
    <n v="15359"/>
    <n v="4365"/>
  </r>
  <r>
    <x v="3"/>
    <x v="2"/>
    <x v="2"/>
    <n v="84250"/>
    <n v="71107"/>
  </r>
  <r>
    <x v="3"/>
    <x v="2"/>
    <x v="3"/>
    <n v="100851"/>
    <n v="49662"/>
  </r>
  <r>
    <x v="3"/>
    <x v="2"/>
    <x v="4"/>
    <n v="29134"/>
    <n v="26155"/>
  </r>
  <r>
    <x v="3"/>
    <x v="2"/>
    <x v="5"/>
    <n v="15420"/>
    <n v="3810"/>
  </r>
  <r>
    <x v="3"/>
    <x v="2"/>
    <x v="6"/>
    <n v="9489"/>
    <n v="2822"/>
  </r>
  <r>
    <x v="3"/>
    <x v="2"/>
    <x v="7"/>
    <n v="101298"/>
    <n v="60227"/>
  </r>
  <r>
    <x v="3"/>
    <x v="2"/>
    <x v="8"/>
    <n v="29081"/>
    <n v="2598"/>
  </r>
  <r>
    <x v="3"/>
    <x v="2"/>
    <x v="9"/>
    <n v="20614"/>
    <n v="14434"/>
  </r>
  <r>
    <x v="3"/>
    <x v="3"/>
    <x v="0"/>
    <n v="204109"/>
    <n v="14017"/>
  </r>
  <r>
    <x v="3"/>
    <x v="3"/>
    <x v="1"/>
    <n v="15547"/>
    <n v="1647"/>
  </r>
  <r>
    <x v="3"/>
    <x v="3"/>
    <x v="2"/>
    <n v="84455"/>
    <n v="52524"/>
  </r>
  <r>
    <x v="3"/>
    <x v="3"/>
    <x v="3"/>
    <n v="101489"/>
    <n v="22719"/>
  </r>
  <r>
    <x v="3"/>
    <x v="3"/>
    <x v="4"/>
    <n v="29193"/>
    <n v="21133"/>
  </r>
  <r>
    <x v="3"/>
    <x v="3"/>
    <x v="5"/>
    <n v="15334"/>
    <n v="1279"/>
  </r>
  <r>
    <x v="3"/>
    <x v="3"/>
    <x v="6"/>
    <n v="9659"/>
    <n v="1077"/>
  </r>
  <r>
    <x v="3"/>
    <x v="3"/>
    <x v="7"/>
    <n v="101505"/>
    <n v="31173"/>
  </r>
  <r>
    <x v="3"/>
    <x v="3"/>
    <x v="8"/>
    <n v="29704"/>
    <n v="835"/>
  </r>
  <r>
    <x v="3"/>
    <x v="3"/>
    <x v="9"/>
    <n v="20573"/>
    <n v="8368"/>
  </r>
  <r>
    <x v="4"/>
    <x v="0"/>
    <x v="0"/>
    <n v="737017"/>
    <n v="80222"/>
  </r>
  <r>
    <x v="4"/>
    <x v="0"/>
    <x v="1"/>
    <n v="56177"/>
    <n v="9429"/>
  </r>
  <r>
    <x v="4"/>
    <x v="0"/>
    <x v="2"/>
    <n v="303816"/>
    <n v="223171"/>
  </r>
  <r>
    <x v="4"/>
    <x v="0"/>
    <x v="3"/>
    <n v="365642"/>
    <n v="118487"/>
  </r>
  <r>
    <x v="4"/>
    <x v="0"/>
    <x v="4"/>
    <n v="103893"/>
    <n v="84188"/>
  </r>
  <r>
    <x v="4"/>
    <x v="0"/>
    <x v="5"/>
    <n v="55418"/>
    <n v="7759"/>
  </r>
  <r>
    <x v="4"/>
    <x v="0"/>
    <x v="6"/>
    <n v="34214"/>
    <n v="5766"/>
  </r>
  <r>
    <x v="4"/>
    <x v="0"/>
    <x v="7"/>
    <n v="365298"/>
    <n v="155300"/>
  </r>
  <r>
    <x v="4"/>
    <x v="0"/>
    <x v="8"/>
    <n v="104783"/>
    <n v="4933"/>
  </r>
  <r>
    <x v="4"/>
    <x v="0"/>
    <x v="9"/>
    <n v="75326"/>
    <n v="40152"/>
  </r>
  <r>
    <x v="4"/>
    <x v="1"/>
    <x v="0"/>
    <n v="123117"/>
    <n v="40216"/>
  </r>
  <r>
    <x v="4"/>
    <x v="1"/>
    <x v="1"/>
    <n v="9340"/>
    <n v="4177"/>
  </r>
  <r>
    <x v="4"/>
    <x v="1"/>
    <x v="2"/>
    <n v="50657"/>
    <n v="46480"/>
  </r>
  <r>
    <x v="4"/>
    <x v="1"/>
    <x v="3"/>
    <n v="60553"/>
    <n v="39841"/>
  </r>
  <r>
    <x v="4"/>
    <x v="1"/>
    <x v="4"/>
    <n v="17354"/>
    <n v="16409"/>
  </r>
  <r>
    <x v="4"/>
    <x v="1"/>
    <x v="5"/>
    <n v="9381"/>
    <n v="3707"/>
  </r>
  <r>
    <x v="4"/>
    <x v="1"/>
    <x v="6"/>
    <n v="5611"/>
    <n v="2512"/>
  </r>
  <r>
    <x v="4"/>
    <x v="1"/>
    <x v="7"/>
    <n v="61031"/>
    <n v="45479"/>
  </r>
  <r>
    <x v="4"/>
    <x v="1"/>
    <x v="8"/>
    <n v="17507"/>
    <n v="2934"/>
  </r>
  <r>
    <x v="4"/>
    <x v="1"/>
    <x v="9"/>
    <n v="12538"/>
    <n v="10355"/>
  </r>
  <r>
    <x v="4"/>
    <x v="2"/>
    <x v="0"/>
    <n v="245604"/>
    <n v="47846"/>
  </r>
  <r>
    <x v="4"/>
    <x v="2"/>
    <x v="1"/>
    <n v="18506"/>
    <n v="5401"/>
  </r>
  <r>
    <x v="4"/>
    <x v="2"/>
    <x v="2"/>
    <n v="101325"/>
    <n v="85608"/>
  </r>
  <r>
    <x v="4"/>
    <x v="2"/>
    <x v="3"/>
    <n v="121849"/>
    <n v="59992"/>
  </r>
  <r>
    <x v="4"/>
    <x v="2"/>
    <x v="4"/>
    <n v="34154"/>
    <n v="30557"/>
  </r>
  <r>
    <x v="4"/>
    <x v="2"/>
    <x v="5"/>
    <n v="18628"/>
    <n v="4593"/>
  </r>
  <r>
    <x v="4"/>
    <x v="2"/>
    <x v="6"/>
    <n v="11145"/>
    <n v="3274"/>
  </r>
  <r>
    <x v="4"/>
    <x v="2"/>
    <x v="7"/>
    <n v="121982"/>
    <n v="72798"/>
  </r>
  <r>
    <x v="4"/>
    <x v="2"/>
    <x v="8"/>
    <n v="35047"/>
    <n v="3195"/>
  </r>
  <r>
    <x v="4"/>
    <x v="2"/>
    <x v="9"/>
    <n v="25247"/>
    <n v="17610"/>
  </r>
  <r>
    <x v="4"/>
    <x v="3"/>
    <x v="0"/>
    <n v="246799"/>
    <n v="16725"/>
  </r>
  <r>
    <x v="4"/>
    <x v="3"/>
    <x v="1"/>
    <n v="18864"/>
    <n v="2051"/>
  </r>
  <r>
    <x v="4"/>
    <x v="3"/>
    <x v="2"/>
    <n v="101389"/>
    <n v="63226"/>
  </r>
  <r>
    <x v="4"/>
    <x v="3"/>
    <x v="3"/>
    <n v="121333"/>
    <n v="27136"/>
  </r>
  <r>
    <x v="4"/>
    <x v="3"/>
    <x v="4"/>
    <n v="34677"/>
    <n v="25086"/>
  </r>
  <r>
    <x v="4"/>
    <x v="3"/>
    <x v="5"/>
    <n v="18458"/>
    <n v="1592"/>
  </r>
  <r>
    <x v="4"/>
    <x v="3"/>
    <x v="6"/>
    <n v="11226"/>
    <n v="1258"/>
  </r>
  <r>
    <x v="4"/>
    <x v="3"/>
    <x v="7"/>
    <n v="121606"/>
    <n v="37171"/>
  </r>
  <r>
    <x v="4"/>
    <x v="3"/>
    <x v="8"/>
    <n v="34396"/>
    <n v="1022"/>
  </r>
  <r>
    <x v="4"/>
    <x v="3"/>
    <x v="9"/>
    <n v="25245"/>
    <n v="10148"/>
  </r>
  <r>
    <x v="5"/>
    <x v="0"/>
    <x v="0"/>
    <n v="864879"/>
    <n v="92961"/>
  </r>
  <r>
    <x v="5"/>
    <x v="0"/>
    <x v="1"/>
    <n v="64982"/>
    <n v="10961"/>
  </r>
  <r>
    <x v="5"/>
    <x v="0"/>
    <x v="2"/>
    <n v="355155"/>
    <n v="259579"/>
  </r>
  <r>
    <x v="5"/>
    <x v="0"/>
    <x v="3"/>
    <n v="427473"/>
    <n v="137895"/>
  </r>
  <r>
    <x v="5"/>
    <x v="0"/>
    <x v="4"/>
    <n v="121272"/>
    <n v="98032"/>
  </r>
  <r>
    <x v="5"/>
    <x v="0"/>
    <x v="5"/>
    <n v="65697"/>
    <n v="9064"/>
  </r>
  <r>
    <x v="5"/>
    <x v="0"/>
    <x v="6"/>
    <n v="39758"/>
    <n v="6638"/>
  </r>
  <r>
    <x v="5"/>
    <x v="0"/>
    <x v="7"/>
    <n v="427235"/>
    <n v="180437"/>
  </r>
  <r>
    <x v="5"/>
    <x v="0"/>
    <x v="8"/>
    <n v="121387"/>
    <n v="5608"/>
  </r>
  <r>
    <x v="5"/>
    <x v="0"/>
    <x v="9"/>
    <n v="88979"/>
    <n v="47136"/>
  </r>
  <r>
    <x v="5"/>
    <x v="1"/>
    <x v="0"/>
    <n v="143562"/>
    <n v="46484"/>
  </r>
  <r>
    <x v="5"/>
    <x v="1"/>
    <x v="1"/>
    <n v="10768"/>
    <n v="4811"/>
  </r>
  <r>
    <x v="5"/>
    <x v="1"/>
    <x v="2"/>
    <n v="58839"/>
    <n v="53704"/>
  </r>
  <r>
    <x v="5"/>
    <x v="1"/>
    <x v="3"/>
    <n v="71289"/>
    <n v="46561"/>
  </r>
  <r>
    <x v="5"/>
    <x v="1"/>
    <x v="4"/>
    <n v="20123"/>
    <n v="19040"/>
  </r>
  <r>
    <x v="5"/>
    <x v="1"/>
    <x v="5"/>
    <n v="11024"/>
    <n v="4385"/>
  </r>
  <r>
    <x v="5"/>
    <x v="1"/>
    <x v="6"/>
    <n v="6536"/>
    <n v="2954"/>
  </r>
  <r>
    <x v="5"/>
    <x v="1"/>
    <x v="7"/>
    <n v="71603"/>
    <n v="53421"/>
  </r>
  <r>
    <x v="5"/>
    <x v="1"/>
    <x v="8"/>
    <n v="20346"/>
    <n v="3316"/>
  </r>
  <r>
    <x v="5"/>
    <x v="1"/>
    <x v="9"/>
    <n v="14779"/>
    <n v="12123"/>
  </r>
  <r>
    <x v="5"/>
    <x v="2"/>
    <x v="0"/>
    <n v="288215"/>
    <n v="55960"/>
  </r>
  <r>
    <x v="5"/>
    <x v="2"/>
    <x v="1"/>
    <n v="21925"/>
    <n v="6195"/>
  </r>
  <r>
    <x v="5"/>
    <x v="2"/>
    <x v="2"/>
    <n v="117588"/>
    <n v="99060"/>
  </r>
  <r>
    <x v="5"/>
    <x v="2"/>
    <x v="3"/>
    <n v="142325"/>
    <n v="69149"/>
  </r>
  <r>
    <x v="5"/>
    <x v="2"/>
    <x v="4"/>
    <n v="40191"/>
    <n v="35867"/>
  </r>
  <r>
    <x v="5"/>
    <x v="2"/>
    <x v="5"/>
    <n v="21839"/>
    <n v="5346"/>
  </r>
  <r>
    <x v="5"/>
    <x v="2"/>
    <x v="6"/>
    <n v="13241"/>
    <n v="3978"/>
  </r>
  <r>
    <x v="5"/>
    <x v="2"/>
    <x v="7"/>
    <n v="141950"/>
    <n v="84151"/>
  </r>
  <r>
    <x v="5"/>
    <x v="2"/>
    <x v="8"/>
    <n v="40047"/>
    <n v="3519"/>
  </r>
  <r>
    <x v="5"/>
    <x v="2"/>
    <x v="9"/>
    <n v="29910"/>
    <n v="20793"/>
  </r>
  <r>
    <x v="5"/>
    <x v="3"/>
    <x v="0"/>
    <n v="289217"/>
    <n v="19343"/>
  </r>
  <r>
    <x v="5"/>
    <x v="3"/>
    <x v="1"/>
    <n v="21999"/>
    <n v="2468"/>
  </r>
  <r>
    <x v="5"/>
    <x v="3"/>
    <x v="2"/>
    <n v="117939"/>
    <n v="72915"/>
  </r>
  <r>
    <x v="5"/>
    <x v="3"/>
    <x v="3"/>
    <n v="142649"/>
    <n v="31935"/>
  </r>
  <r>
    <x v="5"/>
    <x v="3"/>
    <x v="4"/>
    <n v="40381"/>
    <n v="28934"/>
  </r>
  <r>
    <x v="5"/>
    <x v="3"/>
    <x v="5"/>
    <n v="21883"/>
    <n v="1917"/>
  </r>
  <r>
    <x v="5"/>
    <x v="3"/>
    <x v="6"/>
    <n v="13256"/>
    <n v="1406"/>
  </r>
  <r>
    <x v="5"/>
    <x v="3"/>
    <x v="7"/>
    <n v="142905"/>
    <n v="43798"/>
  </r>
  <r>
    <x v="5"/>
    <x v="3"/>
    <x v="8"/>
    <n v="40006"/>
    <n v="1140"/>
  </r>
  <r>
    <x v="5"/>
    <x v="3"/>
    <x v="9"/>
    <n v="29546"/>
    <n v="12036"/>
  </r>
  <r>
    <x v="6"/>
    <x v="0"/>
    <x v="0"/>
    <n v="991696"/>
    <n v="106151"/>
  </r>
  <r>
    <x v="6"/>
    <x v="0"/>
    <x v="1"/>
    <n v="75728"/>
    <n v="12726"/>
  </r>
  <r>
    <x v="6"/>
    <x v="0"/>
    <x v="2"/>
    <n v="404988"/>
    <n v="294854"/>
  </r>
  <r>
    <x v="6"/>
    <x v="0"/>
    <x v="3"/>
    <n v="489494"/>
    <n v="157468"/>
  </r>
  <r>
    <x v="6"/>
    <x v="0"/>
    <x v="4"/>
    <n v="136891"/>
    <n v="110553"/>
  </r>
  <r>
    <x v="6"/>
    <x v="0"/>
    <x v="5"/>
    <n v="75164"/>
    <n v="10480"/>
  </r>
  <r>
    <x v="6"/>
    <x v="0"/>
    <x v="6"/>
    <n v="44787"/>
    <n v="7413"/>
  </r>
  <r>
    <x v="6"/>
    <x v="0"/>
    <x v="7"/>
    <n v="489397"/>
    <n v="206002"/>
  </r>
  <r>
    <x v="6"/>
    <x v="0"/>
    <x v="8"/>
    <n v="137183"/>
    <n v="6118"/>
  </r>
  <r>
    <x v="6"/>
    <x v="0"/>
    <x v="9"/>
    <n v="102772"/>
    <n v="54419"/>
  </r>
  <r>
    <x v="6"/>
    <x v="1"/>
    <x v="0"/>
    <n v="165999"/>
    <n v="53691"/>
  </r>
  <r>
    <x v="6"/>
    <x v="1"/>
    <x v="1"/>
    <n v="12460"/>
    <n v="5606"/>
  </r>
  <r>
    <x v="6"/>
    <x v="1"/>
    <x v="2"/>
    <n v="67241"/>
    <n v="61558"/>
  </r>
  <r>
    <x v="6"/>
    <x v="1"/>
    <x v="3"/>
    <n v="81173"/>
    <n v="52958"/>
  </r>
  <r>
    <x v="6"/>
    <x v="1"/>
    <x v="4"/>
    <n v="23015"/>
    <n v="21755"/>
  </r>
  <r>
    <x v="6"/>
    <x v="1"/>
    <x v="5"/>
    <n v="12532"/>
    <n v="4899"/>
  </r>
  <r>
    <x v="6"/>
    <x v="1"/>
    <x v="6"/>
    <n v="7272"/>
    <n v="3253"/>
  </r>
  <r>
    <x v="6"/>
    <x v="1"/>
    <x v="7"/>
    <n v="81061"/>
    <n v="60440"/>
  </r>
  <r>
    <x v="6"/>
    <x v="1"/>
    <x v="8"/>
    <n v="22832"/>
    <n v="3603"/>
  </r>
  <r>
    <x v="6"/>
    <x v="1"/>
    <x v="9"/>
    <n v="16953"/>
    <n v="13919"/>
  </r>
  <r>
    <x v="6"/>
    <x v="2"/>
    <x v="0"/>
    <n v="331186"/>
    <n v="63810"/>
  </r>
  <r>
    <x v="6"/>
    <x v="2"/>
    <x v="1"/>
    <n v="25206"/>
    <n v="7286"/>
  </r>
  <r>
    <x v="6"/>
    <x v="2"/>
    <x v="2"/>
    <n v="134971"/>
    <n v="113897"/>
  </r>
  <r>
    <x v="6"/>
    <x v="2"/>
    <x v="3"/>
    <n v="163935"/>
    <n v="79646"/>
  </r>
  <r>
    <x v="6"/>
    <x v="2"/>
    <x v="4"/>
    <n v="45774"/>
    <n v="40814"/>
  </r>
  <r>
    <x v="6"/>
    <x v="2"/>
    <x v="5"/>
    <n v="25064"/>
    <n v="5980"/>
  </r>
  <r>
    <x v="6"/>
    <x v="2"/>
    <x v="6"/>
    <n v="15035"/>
    <n v="4233"/>
  </r>
  <r>
    <x v="6"/>
    <x v="2"/>
    <x v="7"/>
    <n v="162495"/>
    <n v="96567"/>
  </r>
  <r>
    <x v="6"/>
    <x v="2"/>
    <x v="8"/>
    <n v="45541"/>
    <n v="3962"/>
  </r>
  <r>
    <x v="6"/>
    <x v="2"/>
    <x v="9"/>
    <n v="34373"/>
    <n v="23747"/>
  </r>
  <r>
    <x v="6"/>
    <x v="3"/>
    <x v="0"/>
    <n v="332196"/>
    <n v="22189"/>
  </r>
  <r>
    <x v="6"/>
    <x v="3"/>
    <x v="1"/>
    <n v="25069"/>
    <n v="2738"/>
  </r>
  <r>
    <x v="6"/>
    <x v="3"/>
    <x v="2"/>
    <n v="134915"/>
    <n v="83342"/>
  </r>
  <r>
    <x v="6"/>
    <x v="3"/>
    <x v="3"/>
    <n v="163801"/>
    <n v="35868"/>
  </r>
  <r>
    <x v="6"/>
    <x v="3"/>
    <x v="4"/>
    <n v="45693"/>
    <n v="32689"/>
  </r>
  <r>
    <x v="6"/>
    <x v="3"/>
    <x v="5"/>
    <n v="25126"/>
    <n v="2177"/>
  </r>
  <r>
    <x v="6"/>
    <x v="3"/>
    <x v="6"/>
    <n v="14829"/>
    <n v="1607"/>
  </r>
  <r>
    <x v="6"/>
    <x v="3"/>
    <x v="7"/>
    <n v="163114"/>
    <n v="49459"/>
  </r>
  <r>
    <x v="6"/>
    <x v="3"/>
    <x v="8"/>
    <n v="46002"/>
    <n v="1273"/>
  </r>
  <r>
    <x v="6"/>
    <x v="3"/>
    <x v="9"/>
    <n v="34300"/>
    <n v="13766"/>
  </r>
  <r>
    <x v="7"/>
    <x v="0"/>
    <x v="0"/>
    <n v="1123833"/>
    <n v="118822"/>
  </r>
  <r>
    <x v="7"/>
    <x v="0"/>
    <x v="1"/>
    <n v="85172"/>
    <n v="13939"/>
  </r>
  <r>
    <x v="7"/>
    <x v="0"/>
    <x v="2"/>
    <n v="909940"/>
    <n v="661942"/>
  </r>
  <r>
    <x v="7"/>
    <x v="0"/>
    <x v="3"/>
    <n v="553019"/>
    <n v="176474"/>
  </r>
  <r>
    <x v="7"/>
    <x v="0"/>
    <x v="4"/>
    <n v="152570"/>
    <n v="122854"/>
  </r>
  <r>
    <x v="7"/>
    <x v="0"/>
    <x v="5"/>
    <n v="85165"/>
    <n v="11706"/>
  </r>
  <r>
    <x v="7"/>
    <x v="0"/>
    <x v="6"/>
    <n v="49807"/>
    <n v="8024"/>
  </r>
  <r>
    <x v="7"/>
    <x v="0"/>
    <x v="7"/>
    <n v="552436"/>
    <n v="232217"/>
  </r>
  <r>
    <x v="7"/>
    <x v="0"/>
    <x v="8"/>
    <n v="153301"/>
    <n v="6691"/>
  </r>
  <r>
    <x v="7"/>
    <x v="0"/>
    <x v="9"/>
    <n v="117204"/>
    <n v="62046"/>
  </r>
  <r>
    <x v="7"/>
    <x v="1"/>
    <x v="0"/>
    <n v="187156"/>
    <n v="60629"/>
  </r>
  <r>
    <x v="7"/>
    <x v="1"/>
    <x v="1"/>
    <n v="14353"/>
    <n v="6259"/>
  </r>
  <r>
    <x v="7"/>
    <x v="1"/>
    <x v="2"/>
    <n v="151200"/>
    <n v="138361"/>
  </r>
  <r>
    <x v="7"/>
    <x v="1"/>
    <x v="3"/>
    <n v="92421"/>
    <n v="60209"/>
  </r>
  <r>
    <x v="7"/>
    <x v="1"/>
    <x v="4"/>
    <n v="25765"/>
    <n v="24274"/>
  </r>
  <r>
    <x v="7"/>
    <x v="1"/>
    <x v="5"/>
    <n v="14054"/>
    <n v="5525"/>
  </r>
  <r>
    <x v="7"/>
    <x v="1"/>
    <x v="6"/>
    <n v="8242"/>
    <n v="3692"/>
  </r>
  <r>
    <x v="7"/>
    <x v="1"/>
    <x v="7"/>
    <n v="92627"/>
    <n v="68591"/>
  </r>
  <r>
    <x v="7"/>
    <x v="1"/>
    <x v="8"/>
    <n v="25466"/>
    <n v="3911"/>
  </r>
  <r>
    <x v="7"/>
    <x v="1"/>
    <x v="9"/>
    <n v="19614"/>
    <n v="16056"/>
  </r>
  <r>
    <x v="7"/>
    <x v="2"/>
    <x v="0"/>
    <n v="374549"/>
    <n v="71635"/>
  </r>
  <r>
    <x v="7"/>
    <x v="2"/>
    <x v="1"/>
    <n v="28440"/>
    <n v="8051"/>
  </r>
  <r>
    <x v="7"/>
    <x v="2"/>
    <x v="2"/>
    <n v="303134"/>
    <n v="255456"/>
  </r>
  <r>
    <x v="7"/>
    <x v="2"/>
    <x v="3"/>
    <n v="184396"/>
    <n v="89444"/>
  </r>
  <r>
    <x v="7"/>
    <x v="2"/>
    <x v="4"/>
    <n v="51097"/>
    <n v="45510"/>
  </r>
  <r>
    <x v="7"/>
    <x v="2"/>
    <x v="5"/>
    <n v="28257"/>
    <n v="6874"/>
  </r>
  <r>
    <x v="7"/>
    <x v="2"/>
    <x v="6"/>
    <n v="16842"/>
    <n v="4837"/>
  </r>
  <r>
    <x v="7"/>
    <x v="2"/>
    <x v="7"/>
    <n v="184097"/>
    <n v="108639"/>
  </r>
  <r>
    <x v="7"/>
    <x v="2"/>
    <x v="8"/>
    <n v="50670"/>
    <n v="4332"/>
  </r>
  <r>
    <x v="7"/>
    <x v="2"/>
    <x v="9"/>
    <n v="38653"/>
    <n v="26908"/>
  </r>
  <r>
    <x v="7"/>
    <x v="3"/>
    <x v="0"/>
    <n v="374540"/>
    <n v="24923"/>
  </r>
  <r>
    <x v="7"/>
    <x v="3"/>
    <x v="1"/>
    <n v="28470"/>
    <n v="2972"/>
  </r>
  <r>
    <x v="7"/>
    <x v="3"/>
    <x v="2"/>
    <n v="302888"/>
    <n v="186403"/>
  </r>
  <r>
    <x v="7"/>
    <x v="3"/>
    <x v="3"/>
    <n v="184259"/>
    <n v="40569"/>
  </r>
  <r>
    <x v="7"/>
    <x v="3"/>
    <x v="4"/>
    <n v="51050"/>
    <n v="36298"/>
  </r>
  <r>
    <x v="7"/>
    <x v="3"/>
    <x v="5"/>
    <n v="28565"/>
    <n v="2494"/>
  </r>
  <r>
    <x v="7"/>
    <x v="3"/>
    <x v="6"/>
    <n v="16531"/>
    <n v="1797"/>
  </r>
  <r>
    <x v="7"/>
    <x v="3"/>
    <x v="7"/>
    <n v="184507"/>
    <n v="55846"/>
  </r>
  <r>
    <x v="7"/>
    <x v="3"/>
    <x v="8"/>
    <n v="51120"/>
    <n v="1379"/>
  </r>
  <r>
    <x v="7"/>
    <x v="3"/>
    <x v="9"/>
    <n v="38647"/>
    <n v="15567"/>
  </r>
  <r>
    <x v="8"/>
    <x v="0"/>
    <x v="0"/>
    <n v="1254797"/>
    <n v="133167"/>
  </r>
  <r>
    <x v="8"/>
    <x v="0"/>
    <x v="1"/>
    <n v="95649"/>
    <n v="15564"/>
  </r>
  <r>
    <x v="8"/>
    <x v="0"/>
    <x v="2"/>
    <n v="1009878"/>
    <n v="732646"/>
  </r>
  <r>
    <x v="8"/>
    <x v="0"/>
    <x v="3"/>
    <n v="614923"/>
    <n v="195704"/>
  </r>
  <r>
    <x v="8"/>
    <x v="0"/>
    <x v="4"/>
    <n v="168666"/>
    <n v="135234"/>
  </r>
  <r>
    <x v="8"/>
    <x v="0"/>
    <x v="5"/>
    <n v="95577"/>
    <n v="13011"/>
  </r>
  <r>
    <x v="8"/>
    <x v="0"/>
    <x v="6"/>
    <n v="54943"/>
    <n v="9019"/>
  </r>
  <r>
    <x v="8"/>
    <x v="0"/>
    <x v="7"/>
    <n v="615678"/>
    <n v="258297"/>
  </r>
  <r>
    <x v="8"/>
    <x v="0"/>
    <x v="8"/>
    <n v="168892"/>
    <n v="7208"/>
  </r>
  <r>
    <x v="8"/>
    <x v="0"/>
    <x v="9"/>
    <n v="130487"/>
    <n v="68767"/>
  </r>
  <r>
    <x v="8"/>
    <x v="1"/>
    <x v="0"/>
    <n v="209205"/>
    <n v="67416"/>
  </r>
  <r>
    <x v="8"/>
    <x v="1"/>
    <x v="1"/>
    <n v="15798"/>
    <n v="6901"/>
  </r>
  <r>
    <x v="8"/>
    <x v="1"/>
    <x v="2"/>
    <n v="168405"/>
    <n v="153943"/>
  </r>
  <r>
    <x v="8"/>
    <x v="1"/>
    <x v="3"/>
    <n v="102991"/>
    <n v="66955"/>
  </r>
  <r>
    <x v="8"/>
    <x v="1"/>
    <x v="4"/>
    <n v="28077"/>
    <n v="26439"/>
  </r>
  <r>
    <x v="8"/>
    <x v="1"/>
    <x v="5"/>
    <n v="15870"/>
    <n v="6154"/>
  </r>
  <r>
    <x v="8"/>
    <x v="1"/>
    <x v="6"/>
    <n v="9124"/>
    <n v="3888"/>
  </r>
  <r>
    <x v="8"/>
    <x v="1"/>
    <x v="7"/>
    <n v="102908"/>
    <n v="76283"/>
  </r>
  <r>
    <x v="8"/>
    <x v="1"/>
    <x v="8"/>
    <n v="28243"/>
    <n v="4446"/>
  </r>
  <r>
    <x v="8"/>
    <x v="1"/>
    <x v="9"/>
    <n v="21896"/>
    <n v="18011"/>
  </r>
  <r>
    <x v="8"/>
    <x v="2"/>
    <x v="0"/>
    <n v="417002"/>
    <n v="79456"/>
  </r>
  <r>
    <x v="8"/>
    <x v="2"/>
    <x v="1"/>
    <n v="31866"/>
    <n v="9046"/>
  </r>
  <r>
    <x v="8"/>
    <x v="2"/>
    <x v="2"/>
    <n v="336307"/>
    <n v="282742"/>
  </r>
  <r>
    <x v="8"/>
    <x v="2"/>
    <x v="3"/>
    <n v="205041"/>
    <n v="98887"/>
  </r>
  <r>
    <x v="8"/>
    <x v="2"/>
    <x v="4"/>
    <n v="56670"/>
    <n v="50583"/>
  </r>
  <r>
    <x v="8"/>
    <x v="2"/>
    <x v="5"/>
    <n v="31976"/>
    <n v="7647"/>
  </r>
  <r>
    <x v="8"/>
    <x v="2"/>
    <x v="6"/>
    <n v="17994"/>
    <n v="5193"/>
  </r>
  <r>
    <x v="8"/>
    <x v="2"/>
    <x v="7"/>
    <n v="205708"/>
    <n v="121092"/>
  </r>
  <r>
    <x v="8"/>
    <x v="2"/>
    <x v="8"/>
    <n v="56400"/>
    <n v="4625"/>
  </r>
  <r>
    <x v="8"/>
    <x v="2"/>
    <x v="9"/>
    <n v="43358"/>
    <n v="30178"/>
  </r>
  <r>
    <x v="8"/>
    <x v="3"/>
    <x v="0"/>
    <n v="419892"/>
    <n v="27777"/>
  </r>
  <r>
    <x v="8"/>
    <x v="3"/>
    <x v="1"/>
    <n v="31758"/>
    <n v="3371"/>
  </r>
  <r>
    <x v="8"/>
    <x v="3"/>
    <x v="2"/>
    <n v="336775"/>
    <n v="206622"/>
  </r>
  <r>
    <x v="8"/>
    <x v="3"/>
    <x v="3"/>
    <n v="205336"/>
    <n v="44455"/>
  </r>
  <r>
    <x v="8"/>
    <x v="3"/>
    <x v="4"/>
    <n v="56664"/>
    <n v="40235"/>
  </r>
  <r>
    <x v="8"/>
    <x v="3"/>
    <x v="5"/>
    <n v="32075"/>
    <n v="2858"/>
  </r>
  <r>
    <x v="8"/>
    <x v="3"/>
    <x v="6"/>
    <n v="18085"/>
    <n v="1866"/>
  </r>
  <r>
    <x v="8"/>
    <x v="3"/>
    <x v="7"/>
    <n v="205916"/>
    <n v="62811"/>
  </r>
  <r>
    <x v="8"/>
    <x v="3"/>
    <x v="8"/>
    <n v="56629"/>
    <n v="1464"/>
  </r>
  <r>
    <x v="8"/>
    <x v="3"/>
    <x v="9"/>
    <n v="43522"/>
    <n v="17360"/>
  </r>
  <r>
    <x v="9"/>
    <x v="0"/>
    <x v="0"/>
    <n v="1385653"/>
    <n v="145370"/>
  </r>
  <r>
    <x v="9"/>
    <x v="0"/>
    <x v="1"/>
    <n v="105870"/>
    <n v="17134"/>
  </r>
  <r>
    <x v="9"/>
    <x v="0"/>
    <x v="2"/>
    <n v="1108578"/>
    <n v="803438"/>
  </r>
  <r>
    <x v="9"/>
    <x v="0"/>
    <x v="3"/>
    <n v="678786"/>
    <n v="214459"/>
  </r>
  <r>
    <x v="9"/>
    <x v="0"/>
    <x v="4"/>
    <n v="185608"/>
    <n v="148736"/>
  </r>
  <r>
    <x v="9"/>
    <x v="0"/>
    <x v="5"/>
    <n v="105275"/>
    <n v="14289"/>
  </r>
  <r>
    <x v="9"/>
    <x v="0"/>
    <x v="6"/>
    <n v="60057"/>
    <n v="9780"/>
  </r>
  <r>
    <x v="9"/>
    <x v="0"/>
    <x v="7"/>
    <n v="679804"/>
    <n v="284547"/>
  </r>
  <r>
    <x v="9"/>
    <x v="0"/>
    <x v="8"/>
    <n v="184631"/>
    <n v="7610"/>
  </r>
  <r>
    <x v="9"/>
    <x v="0"/>
    <x v="9"/>
    <n v="144964"/>
    <n v="76393"/>
  </r>
  <r>
    <x v="9"/>
    <x v="1"/>
    <x v="0"/>
    <n v="231114"/>
    <n v="73943"/>
  </r>
  <r>
    <x v="9"/>
    <x v="1"/>
    <x v="1"/>
    <n v="17506"/>
    <n v="7577"/>
  </r>
  <r>
    <x v="9"/>
    <x v="1"/>
    <x v="2"/>
    <n v="184580"/>
    <n v="168587"/>
  </r>
  <r>
    <x v="9"/>
    <x v="1"/>
    <x v="3"/>
    <n v="113458"/>
    <n v="73681"/>
  </r>
  <r>
    <x v="9"/>
    <x v="1"/>
    <x v="4"/>
    <n v="30709"/>
    <n v="28904"/>
  </r>
  <r>
    <x v="9"/>
    <x v="1"/>
    <x v="5"/>
    <n v="17654"/>
    <n v="6833"/>
  </r>
  <r>
    <x v="9"/>
    <x v="1"/>
    <x v="6"/>
    <n v="10053"/>
    <n v="4511"/>
  </r>
  <r>
    <x v="9"/>
    <x v="1"/>
    <x v="7"/>
    <n v="112767"/>
    <n v="83689"/>
  </r>
  <r>
    <x v="9"/>
    <x v="1"/>
    <x v="8"/>
    <n v="31042"/>
    <n v="4725"/>
  </r>
  <r>
    <x v="9"/>
    <x v="1"/>
    <x v="9"/>
    <n v="24272"/>
    <n v="19760"/>
  </r>
  <r>
    <x v="9"/>
    <x v="2"/>
    <x v="0"/>
    <n v="461959"/>
    <n v="87550"/>
  </r>
  <r>
    <x v="9"/>
    <x v="2"/>
    <x v="1"/>
    <n v="35343"/>
    <n v="9761"/>
  </r>
  <r>
    <x v="9"/>
    <x v="2"/>
    <x v="2"/>
    <n v="369154"/>
    <n v="310001"/>
  </r>
  <r>
    <x v="9"/>
    <x v="2"/>
    <x v="3"/>
    <n v="226908"/>
    <n v="108800"/>
  </r>
  <r>
    <x v="9"/>
    <x v="2"/>
    <x v="4"/>
    <n v="61736"/>
    <n v="54997"/>
  </r>
  <r>
    <x v="9"/>
    <x v="2"/>
    <x v="5"/>
    <n v="35634"/>
    <n v="8625"/>
  </r>
  <r>
    <x v="9"/>
    <x v="2"/>
    <x v="6"/>
    <n v="19786"/>
    <n v="5616"/>
  </r>
  <r>
    <x v="9"/>
    <x v="2"/>
    <x v="7"/>
    <n v="226222"/>
    <n v="133254"/>
  </r>
  <r>
    <x v="9"/>
    <x v="2"/>
    <x v="8"/>
    <n v="61733"/>
    <n v="4975"/>
  </r>
  <r>
    <x v="9"/>
    <x v="2"/>
    <x v="9"/>
    <n v="48361"/>
    <n v="33202"/>
  </r>
  <r>
    <x v="9"/>
    <x v="3"/>
    <x v="0"/>
    <n v="460972"/>
    <n v="30499"/>
  </r>
  <r>
    <x v="9"/>
    <x v="3"/>
    <x v="1"/>
    <n v="35204"/>
    <n v="3713"/>
  </r>
  <r>
    <x v="9"/>
    <x v="3"/>
    <x v="2"/>
    <n v="368969"/>
    <n v="225722"/>
  </r>
  <r>
    <x v="9"/>
    <x v="3"/>
    <x v="3"/>
    <n v="227181"/>
    <n v="49102"/>
  </r>
  <r>
    <x v="9"/>
    <x v="3"/>
    <x v="4"/>
    <n v="61399"/>
    <n v="43573"/>
  </r>
  <r>
    <x v="9"/>
    <x v="3"/>
    <x v="5"/>
    <n v="35178"/>
    <n v="2979"/>
  </r>
  <r>
    <x v="9"/>
    <x v="3"/>
    <x v="6"/>
    <n v="19702"/>
    <n v="2001"/>
  </r>
  <r>
    <x v="9"/>
    <x v="3"/>
    <x v="7"/>
    <n v="225887"/>
    <n v="68471"/>
  </r>
  <r>
    <x v="9"/>
    <x v="3"/>
    <x v="8"/>
    <n v="60994"/>
    <n v="1585"/>
  </r>
  <r>
    <x v="9"/>
    <x v="3"/>
    <x v="9"/>
    <n v="48363"/>
    <n v="19344"/>
  </r>
  <r>
    <x v="10"/>
    <x v="0"/>
    <x v="0"/>
    <n v="1518550"/>
    <n v="158919"/>
  </r>
  <r>
    <x v="10"/>
    <x v="0"/>
    <x v="1"/>
    <n v="115847"/>
    <n v="18722"/>
  </r>
  <r>
    <x v="10"/>
    <x v="0"/>
    <x v="2"/>
    <n v="1206360"/>
    <n v="871201"/>
  </r>
  <r>
    <x v="10"/>
    <x v="0"/>
    <x v="3"/>
    <n v="743352"/>
    <n v="233674"/>
  </r>
  <r>
    <x v="10"/>
    <x v="0"/>
    <x v="4"/>
    <n v="201288"/>
    <n v="161146"/>
  </r>
  <r>
    <x v="10"/>
    <x v="0"/>
    <x v="5"/>
    <n v="116204"/>
    <n v="15781"/>
  </r>
  <r>
    <x v="10"/>
    <x v="0"/>
    <x v="6"/>
    <n v="64287"/>
    <n v="10368"/>
  </r>
  <r>
    <x v="10"/>
    <x v="0"/>
    <x v="7"/>
    <n v="743418"/>
    <n v="310063"/>
  </r>
  <r>
    <x v="10"/>
    <x v="0"/>
    <x v="8"/>
    <n v="200102"/>
    <n v="8116"/>
  </r>
  <r>
    <x v="10"/>
    <x v="0"/>
    <x v="9"/>
    <n v="159773"/>
    <n v="84162"/>
  </r>
  <r>
    <x v="10"/>
    <x v="1"/>
    <x v="0"/>
    <n v="252581"/>
    <n v="80166"/>
  </r>
  <r>
    <x v="10"/>
    <x v="1"/>
    <x v="1"/>
    <n v="19203"/>
    <n v="8260"/>
  </r>
  <r>
    <x v="10"/>
    <x v="1"/>
    <x v="2"/>
    <n v="200399"/>
    <n v="182992"/>
  </r>
  <r>
    <x v="10"/>
    <x v="1"/>
    <x v="3"/>
    <n v="124045"/>
    <n v="80367"/>
  </r>
  <r>
    <x v="10"/>
    <x v="1"/>
    <x v="4"/>
    <n v="33166"/>
    <n v="31280"/>
  </r>
  <r>
    <x v="10"/>
    <x v="1"/>
    <x v="5"/>
    <n v="19242"/>
    <n v="7497"/>
  </r>
  <r>
    <x v="10"/>
    <x v="1"/>
    <x v="6"/>
    <n v="10669"/>
    <n v="4629"/>
  </r>
  <r>
    <x v="10"/>
    <x v="1"/>
    <x v="7"/>
    <n v="124128"/>
    <n v="92010"/>
  </r>
  <r>
    <x v="10"/>
    <x v="1"/>
    <x v="8"/>
    <n v="33581"/>
    <n v="4880"/>
  </r>
  <r>
    <x v="10"/>
    <x v="1"/>
    <x v="9"/>
    <n v="26776"/>
    <n v="21920"/>
  </r>
  <r>
    <x v="10"/>
    <x v="2"/>
    <x v="0"/>
    <n v="507093"/>
    <n v="95523"/>
  </r>
  <r>
    <x v="10"/>
    <x v="2"/>
    <x v="1"/>
    <n v="38555"/>
    <n v="10742"/>
  </r>
  <r>
    <x v="10"/>
    <x v="2"/>
    <x v="2"/>
    <n v="403256"/>
    <n v="338418"/>
  </r>
  <r>
    <x v="10"/>
    <x v="2"/>
    <x v="3"/>
    <n v="248026"/>
    <n v="118332"/>
  </r>
  <r>
    <x v="10"/>
    <x v="2"/>
    <x v="4"/>
    <n v="66296"/>
    <n v="58931"/>
  </r>
  <r>
    <x v="10"/>
    <x v="2"/>
    <x v="5"/>
    <n v="38782"/>
    <n v="9176"/>
  </r>
  <r>
    <x v="10"/>
    <x v="2"/>
    <x v="6"/>
    <n v="21349"/>
    <n v="5918"/>
  </r>
  <r>
    <x v="10"/>
    <x v="2"/>
    <x v="7"/>
    <n v="246974"/>
    <n v="145590"/>
  </r>
  <r>
    <x v="10"/>
    <x v="2"/>
    <x v="8"/>
    <n v="66684"/>
    <n v="5253"/>
  </r>
  <r>
    <x v="10"/>
    <x v="2"/>
    <x v="9"/>
    <n v="52750"/>
    <n v="36193"/>
  </r>
  <r>
    <x v="10"/>
    <x v="3"/>
    <x v="0"/>
    <n v="506177"/>
    <n v="33032"/>
  </r>
  <r>
    <x v="10"/>
    <x v="3"/>
    <x v="1"/>
    <n v="38974"/>
    <n v="4051"/>
  </r>
  <r>
    <x v="10"/>
    <x v="3"/>
    <x v="2"/>
    <n v="402349"/>
    <n v="245952"/>
  </r>
  <r>
    <x v="10"/>
    <x v="3"/>
    <x v="3"/>
    <n v="247575"/>
    <n v="53198"/>
  </r>
  <r>
    <x v="10"/>
    <x v="3"/>
    <x v="4"/>
    <n v="66669"/>
    <n v="47282"/>
  </r>
  <r>
    <x v="10"/>
    <x v="3"/>
    <x v="5"/>
    <n v="38951"/>
    <n v="3356"/>
  </r>
  <r>
    <x v="10"/>
    <x v="3"/>
    <x v="6"/>
    <n v="21309"/>
    <n v="2251"/>
  </r>
  <r>
    <x v="10"/>
    <x v="3"/>
    <x v="7"/>
    <n v="248797"/>
    <n v="75088"/>
  </r>
  <r>
    <x v="10"/>
    <x v="3"/>
    <x v="8"/>
    <n v="66708"/>
    <n v="1713"/>
  </r>
  <r>
    <x v="10"/>
    <x v="3"/>
    <x v="9"/>
    <n v="53340"/>
    <n v="21305"/>
  </r>
  <r>
    <x v="11"/>
    <x v="0"/>
    <x v="0"/>
    <n v="1652990"/>
    <n v="171302"/>
  </r>
  <r>
    <x v="11"/>
    <x v="0"/>
    <x v="1"/>
    <n v="126084"/>
    <n v="20180"/>
  </r>
  <r>
    <x v="11"/>
    <x v="0"/>
    <x v="2"/>
    <n v="1305886"/>
    <n v="941897"/>
  </r>
  <r>
    <x v="11"/>
    <x v="0"/>
    <x v="3"/>
    <n v="807819"/>
    <n v="251925"/>
  </r>
  <r>
    <x v="11"/>
    <x v="0"/>
    <x v="4"/>
    <n v="215349"/>
    <n v="171967"/>
  </r>
  <r>
    <x v="11"/>
    <x v="0"/>
    <x v="5"/>
    <n v="126198"/>
    <n v="17121"/>
  </r>
  <r>
    <x v="11"/>
    <x v="0"/>
    <x v="6"/>
    <n v="68435"/>
    <n v="10959"/>
  </r>
  <r>
    <x v="11"/>
    <x v="0"/>
    <x v="7"/>
    <n v="808168"/>
    <n v="336510"/>
  </r>
  <r>
    <x v="11"/>
    <x v="0"/>
    <x v="8"/>
    <n v="214924"/>
    <n v="8490"/>
  </r>
  <r>
    <x v="11"/>
    <x v="0"/>
    <x v="9"/>
    <n v="174668"/>
    <n v="91432"/>
  </r>
  <r>
    <x v="11"/>
    <x v="1"/>
    <x v="0"/>
    <n v="275135"/>
    <n v="86495"/>
  </r>
  <r>
    <x v="11"/>
    <x v="1"/>
    <x v="1"/>
    <n v="21076"/>
    <n v="9087"/>
  </r>
  <r>
    <x v="11"/>
    <x v="1"/>
    <x v="2"/>
    <n v="217439"/>
    <n v="198298"/>
  </r>
  <r>
    <x v="11"/>
    <x v="1"/>
    <x v="3"/>
    <n v="133868"/>
    <n v="86517"/>
  </r>
  <r>
    <x v="11"/>
    <x v="1"/>
    <x v="4"/>
    <n v="35967"/>
    <n v="33835"/>
  </r>
  <r>
    <x v="11"/>
    <x v="1"/>
    <x v="5"/>
    <n v="21061"/>
    <n v="8107"/>
  </r>
  <r>
    <x v="11"/>
    <x v="1"/>
    <x v="6"/>
    <n v="11455"/>
    <n v="4900"/>
  </r>
  <r>
    <x v="11"/>
    <x v="1"/>
    <x v="7"/>
    <n v="134489"/>
    <n v="99602"/>
  </r>
  <r>
    <x v="11"/>
    <x v="1"/>
    <x v="8"/>
    <n v="36117"/>
    <n v="5120"/>
  </r>
  <r>
    <x v="11"/>
    <x v="1"/>
    <x v="9"/>
    <n v="29108"/>
    <n v="23695"/>
  </r>
  <r>
    <x v="11"/>
    <x v="2"/>
    <x v="0"/>
    <n v="552040"/>
    <n v="104046"/>
  </r>
  <r>
    <x v="11"/>
    <x v="2"/>
    <x v="1"/>
    <n v="42100"/>
    <n v="11559"/>
  </r>
  <r>
    <x v="11"/>
    <x v="2"/>
    <x v="2"/>
    <n v="435856"/>
    <n v="364739"/>
  </r>
  <r>
    <x v="11"/>
    <x v="2"/>
    <x v="3"/>
    <n v="269602"/>
    <n v="128452"/>
  </r>
  <r>
    <x v="11"/>
    <x v="2"/>
    <x v="4"/>
    <n v="71724"/>
    <n v="63672"/>
  </r>
  <r>
    <x v="11"/>
    <x v="2"/>
    <x v="5"/>
    <n v="42040"/>
    <n v="9998"/>
  </r>
  <r>
    <x v="11"/>
    <x v="2"/>
    <x v="6"/>
    <n v="22867"/>
    <n v="6342"/>
  </r>
  <r>
    <x v="11"/>
    <x v="2"/>
    <x v="7"/>
    <n v="269908"/>
    <n v="158443"/>
  </r>
  <r>
    <x v="11"/>
    <x v="2"/>
    <x v="8"/>
    <n v="71359"/>
    <n v="5521"/>
  </r>
  <r>
    <x v="11"/>
    <x v="2"/>
    <x v="9"/>
    <n v="58323"/>
    <n v="40176"/>
  </r>
  <r>
    <x v="11"/>
    <x v="3"/>
    <x v="0"/>
    <n v="551530"/>
    <n v="36045"/>
  </r>
  <r>
    <x v="11"/>
    <x v="3"/>
    <x v="1"/>
    <n v="42220"/>
    <n v="4328"/>
  </r>
  <r>
    <x v="11"/>
    <x v="3"/>
    <x v="2"/>
    <n v="435595"/>
    <n v="265345"/>
  </r>
  <r>
    <x v="11"/>
    <x v="3"/>
    <x v="3"/>
    <n v="269645"/>
    <n v="57846"/>
  </r>
  <r>
    <x v="11"/>
    <x v="3"/>
    <x v="4"/>
    <n v="71229"/>
    <n v="50078"/>
  </r>
  <r>
    <x v="11"/>
    <x v="3"/>
    <x v="5"/>
    <n v="42152"/>
    <n v="3663"/>
  </r>
  <r>
    <x v="11"/>
    <x v="3"/>
    <x v="6"/>
    <n v="22893"/>
    <n v="2347"/>
  </r>
  <r>
    <x v="11"/>
    <x v="3"/>
    <x v="7"/>
    <n v="270020"/>
    <n v="80853"/>
  </r>
  <r>
    <x v="11"/>
    <x v="3"/>
    <x v="8"/>
    <n v="72100"/>
    <n v="1721"/>
  </r>
  <r>
    <x v="11"/>
    <x v="3"/>
    <x v="9"/>
    <n v="57958"/>
    <n v="23108"/>
  </r>
  <r>
    <x v="12"/>
    <x v="0"/>
    <x v="0"/>
    <n v="1788586"/>
    <n v="184905"/>
  </r>
  <r>
    <x v="12"/>
    <x v="0"/>
    <x v="1"/>
    <n v="136831"/>
    <n v="21612"/>
  </r>
  <r>
    <x v="12"/>
    <x v="0"/>
    <x v="2"/>
    <n v="1407268"/>
    <n v="1012629"/>
  </r>
  <r>
    <x v="12"/>
    <x v="0"/>
    <x v="3"/>
    <n v="874029"/>
    <n v="271817"/>
  </r>
  <r>
    <x v="12"/>
    <x v="0"/>
    <x v="4"/>
    <n v="229172"/>
    <n v="182361"/>
  </r>
  <r>
    <x v="12"/>
    <x v="0"/>
    <x v="5"/>
    <n v="137077"/>
    <n v="18319"/>
  </r>
  <r>
    <x v="12"/>
    <x v="0"/>
    <x v="6"/>
    <n v="73253"/>
    <n v="11878"/>
  </r>
  <r>
    <x v="12"/>
    <x v="0"/>
    <x v="7"/>
    <n v="871439"/>
    <n v="362115"/>
  </r>
  <r>
    <x v="12"/>
    <x v="0"/>
    <x v="8"/>
    <n v="230089"/>
    <n v="8959"/>
  </r>
  <r>
    <x v="12"/>
    <x v="0"/>
    <x v="9"/>
    <n v="189849"/>
    <n v="99040"/>
  </r>
  <r>
    <x v="12"/>
    <x v="1"/>
    <x v="0"/>
    <n v="297522"/>
    <n v="93869"/>
  </r>
  <r>
    <x v="12"/>
    <x v="1"/>
    <x v="1"/>
    <n v="22808"/>
    <n v="9659"/>
  </r>
  <r>
    <x v="12"/>
    <x v="1"/>
    <x v="2"/>
    <n v="234377"/>
    <n v="213321"/>
  </r>
  <r>
    <x v="12"/>
    <x v="1"/>
    <x v="3"/>
    <n v="145180"/>
    <n v="93512"/>
  </r>
  <r>
    <x v="12"/>
    <x v="1"/>
    <x v="4"/>
    <n v="38651"/>
    <n v="36283"/>
  </r>
  <r>
    <x v="12"/>
    <x v="1"/>
    <x v="5"/>
    <n v="22808"/>
    <n v="8643"/>
  </r>
  <r>
    <x v="12"/>
    <x v="1"/>
    <x v="6"/>
    <n v="12164"/>
    <n v="5140"/>
  </r>
  <r>
    <x v="12"/>
    <x v="1"/>
    <x v="7"/>
    <n v="146230"/>
    <n v="107997"/>
  </r>
  <r>
    <x v="12"/>
    <x v="1"/>
    <x v="8"/>
    <n v="38573"/>
    <n v="5302"/>
  </r>
  <r>
    <x v="12"/>
    <x v="1"/>
    <x v="9"/>
    <n v="31676"/>
    <n v="25703"/>
  </r>
  <r>
    <x v="12"/>
    <x v="2"/>
    <x v="0"/>
    <n v="594926"/>
    <n v="111491"/>
  </r>
  <r>
    <x v="12"/>
    <x v="2"/>
    <x v="1"/>
    <n v="45692"/>
    <n v="12485"/>
  </r>
  <r>
    <x v="12"/>
    <x v="2"/>
    <x v="2"/>
    <n v="468324"/>
    <n v="392084"/>
  </r>
  <r>
    <x v="12"/>
    <x v="2"/>
    <x v="3"/>
    <n v="291319"/>
    <n v="138437"/>
  </r>
  <r>
    <x v="12"/>
    <x v="2"/>
    <x v="4"/>
    <n v="76679"/>
    <n v="68002"/>
  </r>
  <r>
    <x v="12"/>
    <x v="2"/>
    <x v="5"/>
    <n v="45472"/>
    <n v="10806"/>
  </r>
  <r>
    <x v="12"/>
    <x v="2"/>
    <x v="6"/>
    <n v="24476"/>
    <n v="6725"/>
  </r>
  <r>
    <x v="12"/>
    <x v="2"/>
    <x v="7"/>
    <n v="291697"/>
    <n v="171465"/>
  </r>
  <r>
    <x v="12"/>
    <x v="2"/>
    <x v="8"/>
    <n v="76398"/>
    <n v="5645"/>
  </r>
  <r>
    <x v="12"/>
    <x v="2"/>
    <x v="9"/>
    <n v="63047"/>
    <n v="43335"/>
  </r>
  <r>
    <x v="12"/>
    <x v="3"/>
    <x v="0"/>
    <n v="595428"/>
    <n v="38143"/>
  </r>
  <r>
    <x v="12"/>
    <x v="3"/>
    <x v="1"/>
    <n v="45338"/>
    <n v="4687"/>
  </r>
  <r>
    <x v="12"/>
    <x v="3"/>
    <x v="2"/>
    <n v="468643"/>
    <n v="284538"/>
  </r>
  <r>
    <x v="12"/>
    <x v="3"/>
    <x v="3"/>
    <n v="291131"/>
    <n v="62088"/>
  </r>
  <r>
    <x v="12"/>
    <x v="3"/>
    <x v="4"/>
    <n v="76675"/>
    <n v="53782"/>
  </r>
  <r>
    <x v="12"/>
    <x v="3"/>
    <x v="5"/>
    <n v="45993"/>
    <n v="3878"/>
  </r>
  <r>
    <x v="12"/>
    <x v="3"/>
    <x v="6"/>
    <n v="24342"/>
    <n v="2520"/>
  </r>
  <r>
    <x v="12"/>
    <x v="3"/>
    <x v="7"/>
    <n v="290222"/>
    <n v="86714"/>
  </r>
  <r>
    <x v="12"/>
    <x v="3"/>
    <x v="8"/>
    <n v="76438"/>
    <n v="1739"/>
  </r>
  <r>
    <x v="12"/>
    <x v="3"/>
    <x v="9"/>
    <n v="63150"/>
    <n v="25360"/>
  </r>
  <r>
    <x v="13"/>
    <x v="0"/>
    <x v="0"/>
    <n v="1924499"/>
    <n v="197050"/>
  </r>
  <r>
    <x v="13"/>
    <x v="0"/>
    <x v="1"/>
    <n v="147107"/>
    <n v="23183"/>
  </r>
  <r>
    <x v="13"/>
    <x v="0"/>
    <x v="2"/>
    <n v="1506435"/>
    <n v="1082535"/>
  </r>
  <r>
    <x v="13"/>
    <x v="0"/>
    <x v="3"/>
    <n v="936597"/>
    <n v="288616"/>
  </r>
  <r>
    <x v="13"/>
    <x v="0"/>
    <x v="4"/>
    <n v="244693"/>
    <n v="194742"/>
  </r>
  <r>
    <x v="13"/>
    <x v="0"/>
    <x v="5"/>
    <n v="148287"/>
    <n v="20010"/>
  </r>
  <r>
    <x v="13"/>
    <x v="0"/>
    <x v="6"/>
    <n v="77684"/>
    <n v="12224"/>
  </r>
  <r>
    <x v="13"/>
    <x v="0"/>
    <x v="7"/>
    <n v="938052"/>
    <n v="389522"/>
  </r>
  <r>
    <x v="13"/>
    <x v="0"/>
    <x v="8"/>
    <n v="245082"/>
    <n v="9093"/>
  </r>
  <r>
    <x v="13"/>
    <x v="0"/>
    <x v="9"/>
    <n v="204811"/>
    <n v="106974"/>
  </r>
  <r>
    <x v="13"/>
    <x v="1"/>
    <x v="0"/>
    <n v="320895"/>
    <n v="100759"/>
  </r>
  <r>
    <x v="13"/>
    <x v="1"/>
    <x v="1"/>
    <n v="24624"/>
    <n v="10503"/>
  </r>
  <r>
    <x v="13"/>
    <x v="1"/>
    <x v="2"/>
    <n v="250415"/>
    <n v="228181"/>
  </r>
  <r>
    <x v="13"/>
    <x v="1"/>
    <x v="3"/>
    <n v="156080"/>
    <n v="100242"/>
  </r>
  <r>
    <x v="13"/>
    <x v="1"/>
    <x v="4"/>
    <n v="40737"/>
    <n v="38233"/>
  </r>
  <r>
    <x v="13"/>
    <x v="1"/>
    <x v="5"/>
    <n v="24285"/>
    <n v="9357"/>
  </r>
  <r>
    <x v="13"/>
    <x v="1"/>
    <x v="6"/>
    <n v="13020"/>
    <n v="5537"/>
  </r>
  <r>
    <x v="13"/>
    <x v="1"/>
    <x v="7"/>
    <n v="155928"/>
    <n v="115165"/>
  </r>
  <r>
    <x v="13"/>
    <x v="1"/>
    <x v="8"/>
    <n v="40515"/>
    <n v="5430"/>
  </r>
  <r>
    <x v="13"/>
    <x v="1"/>
    <x v="9"/>
    <n v="34556"/>
    <n v="28174"/>
  </r>
  <r>
    <x v="13"/>
    <x v="2"/>
    <x v="0"/>
    <n v="642572"/>
    <n v="119678"/>
  </r>
  <r>
    <x v="13"/>
    <x v="2"/>
    <x v="1"/>
    <n v="49358"/>
    <n v="13354"/>
  </r>
  <r>
    <x v="13"/>
    <x v="2"/>
    <x v="2"/>
    <n v="500868"/>
    <n v="418446"/>
  </r>
  <r>
    <x v="13"/>
    <x v="2"/>
    <x v="3"/>
    <n v="312886"/>
    <n v="147895"/>
  </r>
  <r>
    <x v="13"/>
    <x v="2"/>
    <x v="4"/>
    <n v="80866"/>
    <n v="71621"/>
  </r>
  <r>
    <x v="13"/>
    <x v="2"/>
    <x v="5"/>
    <n v="48971"/>
    <n v="11510"/>
  </r>
  <r>
    <x v="13"/>
    <x v="2"/>
    <x v="6"/>
    <n v="25826"/>
    <n v="6913"/>
  </r>
  <r>
    <x v="13"/>
    <x v="2"/>
    <x v="7"/>
    <n v="312902"/>
    <n v="183075"/>
  </r>
  <r>
    <x v="13"/>
    <x v="2"/>
    <x v="8"/>
    <n v="81901"/>
    <n v="5856"/>
  </r>
  <r>
    <x v="13"/>
    <x v="2"/>
    <x v="9"/>
    <n v="68217"/>
    <n v="46760"/>
  </r>
  <r>
    <x v="13"/>
    <x v="3"/>
    <x v="0"/>
    <n v="642994"/>
    <n v="40921"/>
  </r>
  <r>
    <x v="13"/>
    <x v="3"/>
    <x v="1"/>
    <n v="48990"/>
    <n v="4884"/>
  </r>
  <r>
    <x v="13"/>
    <x v="3"/>
    <x v="2"/>
    <n v="501078"/>
    <n v="302433"/>
  </r>
  <r>
    <x v="13"/>
    <x v="3"/>
    <x v="3"/>
    <n v="312123"/>
    <n v="65770"/>
  </r>
  <r>
    <x v="13"/>
    <x v="3"/>
    <x v="4"/>
    <n v="81605"/>
    <n v="57125"/>
  </r>
  <r>
    <x v="13"/>
    <x v="3"/>
    <x v="5"/>
    <n v="49267"/>
    <n v="4209"/>
  </r>
  <r>
    <x v="13"/>
    <x v="3"/>
    <x v="6"/>
    <n v="25869"/>
    <n v="2653"/>
  </r>
  <r>
    <x v="13"/>
    <x v="3"/>
    <x v="7"/>
    <n v="312058"/>
    <n v="92654"/>
  </r>
  <r>
    <x v="13"/>
    <x v="3"/>
    <x v="8"/>
    <n v="81688"/>
    <n v="1838"/>
  </r>
  <r>
    <x v="13"/>
    <x v="3"/>
    <x v="9"/>
    <n v="68415"/>
    <n v="27372"/>
  </r>
  <r>
    <x v="14"/>
    <x v="0"/>
    <x v="0"/>
    <n v="2063897"/>
    <n v="210826"/>
  </r>
  <r>
    <x v="14"/>
    <x v="0"/>
    <x v="1"/>
    <n v="157486"/>
    <n v="24675"/>
  </r>
  <r>
    <x v="14"/>
    <x v="0"/>
    <x v="2"/>
    <n v="1604474"/>
    <n v="1150346"/>
  </r>
  <r>
    <x v="14"/>
    <x v="0"/>
    <x v="3"/>
    <n v="1002749"/>
    <n v="308075"/>
  </r>
  <r>
    <x v="14"/>
    <x v="0"/>
    <x v="4"/>
    <n v="259165"/>
    <n v="205927"/>
  </r>
  <r>
    <x v="14"/>
    <x v="0"/>
    <x v="5"/>
    <n v="158037"/>
    <n v="21209"/>
  </r>
  <r>
    <x v="14"/>
    <x v="0"/>
    <x v="6"/>
    <n v="81535"/>
    <n v="12585"/>
  </r>
  <r>
    <x v="14"/>
    <x v="0"/>
    <x v="7"/>
    <n v="1001962"/>
    <n v="413821"/>
  </r>
  <r>
    <x v="14"/>
    <x v="0"/>
    <x v="8"/>
    <n v="258338"/>
    <n v="9373"/>
  </r>
  <r>
    <x v="14"/>
    <x v="0"/>
    <x v="9"/>
    <n v="220911"/>
    <n v="115504"/>
  </r>
  <r>
    <x v="14"/>
    <x v="1"/>
    <x v="0"/>
    <n v="343301"/>
    <n v="107037"/>
  </r>
  <r>
    <x v="14"/>
    <x v="1"/>
    <x v="1"/>
    <n v="26262"/>
    <n v="11162"/>
  </r>
  <r>
    <x v="14"/>
    <x v="1"/>
    <x v="2"/>
    <n v="266282"/>
    <n v="242218"/>
  </r>
  <r>
    <x v="14"/>
    <x v="1"/>
    <x v="3"/>
    <n v="167075"/>
    <n v="106890"/>
  </r>
  <r>
    <x v="14"/>
    <x v="1"/>
    <x v="4"/>
    <n v="43377"/>
    <n v="40692"/>
  </r>
  <r>
    <x v="14"/>
    <x v="1"/>
    <x v="5"/>
    <n v="26495"/>
    <n v="9983"/>
  </r>
  <r>
    <x v="14"/>
    <x v="1"/>
    <x v="6"/>
    <n v="13573"/>
    <n v="5862"/>
  </r>
  <r>
    <x v="14"/>
    <x v="1"/>
    <x v="7"/>
    <n v="167233"/>
    <n v="123599"/>
  </r>
  <r>
    <x v="14"/>
    <x v="1"/>
    <x v="8"/>
    <n v="43109"/>
    <n v="5632"/>
  </r>
  <r>
    <x v="14"/>
    <x v="1"/>
    <x v="9"/>
    <n v="36454"/>
    <n v="29656"/>
  </r>
  <r>
    <x v="14"/>
    <x v="2"/>
    <x v="0"/>
    <n v="687491"/>
    <n v="126969"/>
  </r>
  <r>
    <x v="14"/>
    <x v="2"/>
    <x v="1"/>
    <n v="52906"/>
    <n v="14399"/>
  </r>
  <r>
    <x v="14"/>
    <x v="2"/>
    <x v="2"/>
    <n v="534542"/>
    <n v="446374"/>
  </r>
  <r>
    <x v="14"/>
    <x v="2"/>
    <x v="3"/>
    <n v="335006"/>
    <n v="157138"/>
  </r>
  <r>
    <x v="14"/>
    <x v="2"/>
    <x v="4"/>
    <n v="86617"/>
    <n v="76595"/>
  </r>
  <r>
    <x v="14"/>
    <x v="2"/>
    <x v="5"/>
    <n v="52769"/>
    <n v="12256"/>
  </r>
  <r>
    <x v="14"/>
    <x v="2"/>
    <x v="6"/>
    <n v="27268"/>
    <n v="7392"/>
  </r>
  <r>
    <x v="14"/>
    <x v="2"/>
    <x v="7"/>
    <n v="334299"/>
    <n v="195979"/>
  </r>
  <r>
    <x v="14"/>
    <x v="2"/>
    <x v="8"/>
    <n v="86216"/>
    <n v="6018"/>
  </r>
  <r>
    <x v="14"/>
    <x v="2"/>
    <x v="9"/>
    <n v="73470"/>
    <n v="50276"/>
  </r>
  <r>
    <x v="14"/>
    <x v="3"/>
    <x v="0"/>
    <n v="687345"/>
    <n v="44054"/>
  </r>
  <r>
    <x v="14"/>
    <x v="3"/>
    <x v="1"/>
    <n v="52886"/>
    <n v="5248"/>
  </r>
  <r>
    <x v="14"/>
    <x v="3"/>
    <x v="2"/>
    <n v="534271"/>
    <n v="322099"/>
  </r>
  <r>
    <x v="14"/>
    <x v="3"/>
    <x v="3"/>
    <n v="334067"/>
    <n v="69987"/>
  </r>
  <r>
    <x v="14"/>
    <x v="3"/>
    <x v="4"/>
    <n v="86389"/>
    <n v="60359"/>
  </r>
  <r>
    <x v="14"/>
    <x v="3"/>
    <x v="5"/>
    <n v="52634"/>
    <n v="4431"/>
  </r>
  <r>
    <x v="14"/>
    <x v="3"/>
    <x v="6"/>
    <n v="27034"/>
    <n v="2651"/>
  </r>
  <r>
    <x v="14"/>
    <x v="3"/>
    <x v="7"/>
    <n v="334724"/>
    <n v="99415"/>
  </r>
  <r>
    <x v="14"/>
    <x v="3"/>
    <x v="8"/>
    <n v="85949"/>
    <n v="1858"/>
  </r>
  <r>
    <x v="14"/>
    <x v="3"/>
    <x v="9"/>
    <n v="73517"/>
    <n v="29065"/>
  </r>
  <r>
    <x v="15"/>
    <x v="0"/>
    <x v="0"/>
    <n v="2203899"/>
    <n v="223491"/>
  </r>
  <r>
    <x v="15"/>
    <x v="0"/>
    <x v="1"/>
    <n v="169744"/>
    <n v="26301"/>
  </r>
  <r>
    <x v="15"/>
    <x v="0"/>
    <x v="2"/>
    <n v="1699683"/>
    <n v="1215511"/>
  </r>
  <r>
    <x v="15"/>
    <x v="0"/>
    <x v="3"/>
    <n v="1070089"/>
    <n v="327246"/>
  </r>
  <r>
    <x v="15"/>
    <x v="0"/>
    <x v="4"/>
    <n v="273202"/>
    <n v="216457"/>
  </r>
  <r>
    <x v="15"/>
    <x v="0"/>
    <x v="5"/>
    <n v="169529"/>
    <n v="22002"/>
  </r>
  <r>
    <x v="15"/>
    <x v="0"/>
    <x v="6"/>
    <n v="85790"/>
    <n v="13373"/>
  </r>
  <r>
    <x v="15"/>
    <x v="0"/>
    <x v="7"/>
    <n v="1068072"/>
    <n v="439990"/>
  </r>
  <r>
    <x v="15"/>
    <x v="0"/>
    <x v="8"/>
    <n v="273582"/>
    <n v="9653"/>
  </r>
  <r>
    <x v="15"/>
    <x v="0"/>
    <x v="9"/>
    <n v="236599"/>
    <n v="123213"/>
  </r>
  <r>
    <x v="15"/>
    <x v="1"/>
    <x v="0"/>
    <n v="368011"/>
    <n v="114499"/>
  </r>
  <r>
    <x v="15"/>
    <x v="1"/>
    <x v="1"/>
    <n v="28178"/>
    <n v="11869"/>
  </r>
  <r>
    <x v="15"/>
    <x v="1"/>
    <x v="2"/>
    <n v="284210"/>
    <n v="258567"/>
  </r>
  <r>
    <x v="15"/>
    <x v="1"/>
    <x v="3"/>
    <n v="177915"/>
    <n v="113386"/>
  </r>
  <r>
    <x v="15"/>
    <x v="1"/>
    <x v="4"/>
    <n v="45450"/>
    <n v="42682"/>
  </r>
  <r>
    <x v="15"/>
    <x v="1"/>
    <x v="5"/>
    <n v="28436"/>
    <n v="10581"/>
  </r>
  <r>
    <x v="15"/>
    <x v="1"/>
    <x v="6"/>
    <n v="14150"/>
    <n v="5910"/>
  </r>
  <r>
    <x v="15"/>
    <x v="1"/>
    <x v="7"/>
    <n v="178829"/>
    <n v="132056"/>
  </r>
  <r>
    <x v="15"/>
    <x v="1"/>
    <x v="8"/>
    <n v="45583"/>
    <n v="5840"/>
  </r>
  <r>
    <x v="15"/>
    <x v="1"/>
    <x v="9"/>
    <n v="39286"/>
    <n v="31843"/>
  </r>
  <r>
    <x v="15"/>
    <x v="2"/>
    <x v="0"/>
    <n v="732415"/>
    <n v="134507"/>
  </r>
  <r>
    <x v="15"/>
    <x v="2"/>
    <x v="1"/>
    <n v="56833"/>
    <n v="15073"/>
  </r>
  <r>
    <x v="15"/>
    <x v="2"/>
    <x v="2"/>
    <n v="566715"/>
    <n v="472493"/>
  </r>
  <r>
    <x v="15"/>
    <x v="2"/>
    <x v="3"/>
    <n v="355434"/>
    <n v="166315"/>
  </r>
  <r>
    <x v="15"/>
    <x v="2"/>
    <x v="4"/>
    <n v="91133"/>
    <n v="80671"/>
  </r>
  <r>
    <x v="15"/>
    <x v="2"/>
    <x v="5"/>
    <n v="56224"/>
    <n v="13129"/>
  </r>
  <r>
    <x v="15"/>
    <x v="2"/>
    <x v="6"/>
    <n v="28427"/>
    <n v="7543"/>
  </r>
  <r>
    <x v="15"/>
    <x v="2"/>
    <x v="7"/>
    <n v="355344"/>
    <n v="208310"/>
  </r>
  <r>
    <x v="15"/>
    <x v="2"/>
    <x v="8"/>
    <n v="90897"/>
    <n v="6129"/>
  </r>
  <r>
    <x v="15"/>
    <x v="2"/>
    <x v="9"/>
    <n v="78692"/>
    <n v="53819"/>
  </r>
  <r>
    <x v="15"/>
    <x v="3"/>
    <x v="0"/>
    <n v="734870"/>
    <n v="46488"/>
  </r>
  <r>
    <x v="15"/>
    <x v="3"/>
    <x v="1"/>
    <n v="56539"/>
    <n v="5568"/>
  </r>
  <r>
    <x v="15"/>
    <x v="3"/>
    <x v="2"/>
    <n v="567210"/>
    <n v="340680"/>
  </r>
  <r>
    <x v="15"/>
    <x v="3"/>
    <x v="3"/>
    <n v="356508"/>
    <n v="74398"/>
  </r>
  <r>
    <x v="15"/>
    <x v="3"/>
    <x v="4"/>
    <n v="91130"/>
    <n v="63082"/>
  </r>
  <r>
    <x v="15"/>
    <x v="3"/>
    <x v="5"/>
    <n v="56416"/>
    <n v="4684"/>
  </r>
  <r>
    <x v="15"/>
    <x v="3"/>
    <x v="6"/>
    <n v="28690"/>
    <n v="2775"/>
  </r>
  <r>
    <x v="15"/>
    <x v="3"/>
    <x v="7"/>
    <n v="355628"/>
    <n v="105304"/>
  </r>
  <r>
    <x v="15"/>
    <x v="3"/>
    <x v="8"/>
    <n v="90905"/>
    <n v="1931"/>
  </r>
  <r>
    <x v="15"/>
    <x v="3"/>
    <x v="9"/>
    <n v="78460"/>
    <n v="30903"/>
  </r>
  <r>
    <x v="16"/>
    <x v="0"/>
    <x v="0"/>
    <n v="2340561"/>
    <n v="235715"/>
  </r>
  <r>
    <x v="16"/>
    <x v="0"/>
    <x v="1"/>
    <n v="180603"/>
    <n v="27690"/>
  </r>
  <r>
    <x v="16"/>
    <x v="0"/>
    <x v="2"/>
    <n v="1798194"/>
    <n v="1283154"/>
  </r>
  <r>
    <x v="16"/>
    <x v="0"/>
    <x v="3"/>
    <n v="1135263"/>
    <n v="344644"/>
  </r>
  <r>
    <x v="16"/>
    <x v="0"/>
    <x v="4"/>
    <n v="287612"/>
    <n v="227165"/>
  </r>
  <r>
    <x v="16"/>
    <x v="0"/>
    <x v="5"/>
    <n v="179610"/>
    <n v="23633"/>
  </r>
  <r>
    <x v="16"/>
    <x v="0"/>
    <x v="6"/>
    <n v="89386"/>
    <n v="13787"/>
  </r>
  <r>
    <x v="16"/>
    <x v="0"/>
    <x v="7"/>
    <n v="1134186"/>
    <n v="467079"/>
  </r>
  <r>
    <x v="16"/>
    <x v="0"/>
    <x v="8"/>
    <n v="287587"/>
    <n v="9752"/>
  </r>
  <r>
    <x v="16"/>
    <x v="0"/>
    <x v="9"/>
    <n v="252107"/>
    <n v="131156"/>
  </r>
  <r>
    <x v="16"/>
    <x v="1"/>
    <x v="0"/>
    <n v="390973"/>
    <n v="121069"/>
  </r>
  <r>
    <x v="16"/>
    <x v="1"/>
    <x v="1"/>
    <n v="30121"/>
    <n v="12633"/>
  </r>
  <r>
    <x v="16"/>
    <x v="1"/>
    <x v="2"/>
    <n v="299800"/>
    <n v="272455"/>
  </r>
  <r>
    <x v="16"/>
    <x v="1"/>
    <x v="3"/>
    <n v="189348"/>
    <n v="120641"/>
  </r>
  <r>
    <x v="16"/>
    <x v="1"/>
    <x v="4"/>
    <n v="48155"/>
    <n v="45160"/>
  </r>
  <r>
    <x v="16"/>
    <x v="1"/>
    <x v="5"/>
    <n v="30014"/>
    <n v="11311"/>
  </r>
  <r>
    <x v="16"/>
    <x v="1"/>
    <x v="6"/>
    <n v="14818"/>
    <n v="6217"/>
  </r>
  <r>
    <x v="16"/>
    <x v="1"/>
    <x v="7"/>
    <n v="188586"/>
    <n v="139099"/>
  </r>
  <r>
    <x v="16"/>
    <x v="1"/>
    <x v="8"/>
    <n v="48037"/>
    <n v="5894"/>
  </r>
  <r>
    <x v="16"/>
    <x v="1"/>
    <x v="9"/>
    <n v="42024"/>
    <n v="34157"/>
  </r>
  <r>
    <x v="16"/>
    <x v="2"/>
    <x v="0"/>
    <n v="781034"/>
    <n v="142947"/>
  </r>
  <r>
    <x v="16"/>
    <x v="2"/>
    <x v="1"/>
    <n v="60097"/>
    <n v="16099"/>
  </r>
  <r>
    <x v="16"/>
    <x v="2"/>
    <x v="2"/>
    <n v="600224"/>
    <n v="500303"/>
  </r>
  <r>
    <x v="16"/>
    <x v="2"/>
    <x v="3"/>
    <n v="377534"/>
    <n v="175642"/>
  </r>
  <r>
    <x v="16"/>
    <x v="2"/>
    <x v="4"/>
    <n v="95707"/>
    <n v="84445"/>
  </r>
  <r>
    <x v="16"/>
    <x v="2"/>
    <x v="5"/>
    <n v="60602"/>
    <n v="14283"/>
  </r>
  <r>
    <x v="16"/>
    <x v="2"/>
    <x v="6"/>
    <n v="29579"/>
    <n v="7913"/>
  </r>
  <r>
    <x v="16"/>
    <x v="2"/>
    <x v="7"/>
    <n v="379163"/>
    <n v="221366"/>
  </r>
  <r>
    <x v="16"/>
    <x v="2"/>
    <x v="8"/>
    <n v="95507"/>
    <n v="6356"/>
  </r>
  <r>
    <x v="16"/>
    <x v="2"/>
    <x v="9"/>
    <n v="83969"/>
    <n v="57458"/>
  </r>
  <r>
    <x v="16"/>
    <x v="3"/>
    <x v="0"/>
    <n v="781667"/>
    <n v="49394"/>
  </r>
  <r>
    <x v="16"/>
    <x v="3"/>
    <x v="1"/>
    <n v="60296"/>
    <n v="5885"/>
  </r>
  <r>
    <x v="16"/>
    <x v="3"/>
    <x v="2"/>
    <n v="599820"/>
    <n v="359603"/>
  </r>
  <r>
    <x v="16"/>
    <x v="3"/>
    <x v="3"/>
    <n v="377828"/>
    <n v="78196"/>
  </r>
  <r>
    <x v="16"/>
    <x v="3"/>
    <x v="4"/>
    <n v="96043"/>
    <n v="66723"/>
  </r>
  <r>
    <x v="16"/>
    <x v="3"/>
    <x v="5"/>
    <n v="59845"/>
    <n v="5002"/>
  </r>
  <r>
    <x v="16"/>
    <x v="3"/>
    <x v="6"/>
    <n v="30076"/>
    <n v="3015"/>
  </r>
  <r>
    <x v="16"/>
    <x v="3"/>
    <x v="7"/>
    <n v="378980"/>
    <n v="111620"/>
  </r>
  <r>
    <x v="16"/>
    <x v="3"/>
    <x v="8"/>
    <n v="95762"/>
    <n v="2004"/>
  </r>
  <r>
    <x v="16"/>
    <x v="3"/>
    <x v="9"/>
    <n v="84477"/>
    <n v="33241"/>
  </r>
  <r>
    <x v="17"/>
    <x v="0"/>
    <x v="0"/>
    <n v="2484569"/>
    <n v="248895"/>
  </r>
  <r>
    <x v="17"/>
    <x v="0"/>
    <x v="1"/>
    <n v="190670"/>
    <n v="29086"/>
  </r>
  <r>
    <x v="17"/>
    <x v="0"/>
    <x v="2"/>
    <n v="1895023"/>
    <n v="1349795"/>
  </r>
  <r>
    <x v="17"/>
    <x v="0"/>
    <x v="3"/>
    <n v="1201192"/>
    <n v="363630"/>
  </r>
  <r>
    <x v="17"/>
    <x v="0"/>
    <x v="4"/>
    <n v="300546"/>
    <n v="236952"/>
  </r>
  <r>
    <x v="17"/>
    <x v="0"/>
    <x v="5"/>
    <n v="192023"/>
    <n v="25172"/>
  </r>
  <r>
    <x v="17"/>
    <x v="0"/>
    <x v="6"/>
    <n v="93758"/>
    <n v="14165"/>
  </r>
  <r>
    <x v="17"/>
    <x v="0"/>
    <x v="7"/>
    <n v="1201206"/>
    <n v="491565"/>
  </r>
  <r>
    <x v="17"/>
    <x v="0"/>
    <x v="8"/>
    <n v="300013"/>
    <n v="10016"/>
  </r>
  <r>
    <x v="17"/>
    <x v="0"/>
    <x v="9"/>
    <n v="269150"/>
    <n v="138957"/>
  </r>
  <r>
    <x v="17"/>
    <x v="1"/>
    <x v="0"/>
    <n v="414638"/>
    <n v="127367"/>
  </r>
  <r>
    <x v="17"/>
    <x v="1"/>
    <x v="1"/>
    <n v="31939"/>
    <n v="13269"/>
  </r>
  <r>
    <x v="17"/>
    <x v="1"/>
    <x v="2"/>
    <n v="315560"/>
    <n v="286517"/>
  </r>
  <r>
    <x v="17"/>
    <x v="1"/>
    <x v="3"/>
    <n v="200153"/>
    <n v="126760"/>
  </r>
  <r>
    <x v="17"/>
    <x v="1"/>
    <x v="4"/>
    <n v="50184"/>
    <n v="46993"/>
  </r>
  <r>
    <x v="17"/>
    <x v="1"/>
    <x v="5"/>
    <n v="31689"/>
    <n v="11895"/>
  </r>
  <r>
    <x v="17"/>
    <x v="1"/>
    <x v="6"/>
    <n v="15575"/>
    <n v="6522"/>
  </r>
  <r>
    <x v="17"/>
    <x v="1"/>
    <x v="7"/>
    <n v="200128"/>
    <n v="146989"/>
  </r>
  <r>
    <x v="17"/>
    <x v="1"/>
    <x v="8"/>
    <n v="50632"/>
    <n v="6030"/>
  </r>
  <r>
    <x v="17"/>
    <x v="1"/>
    <x v="9"/>
    <n v="44664"/>
    <n v="36007"/>
  </r>
  <r>
    <x v="17"/>
    <x v="2"/>
    <x v="0"/>
    <n v="827302"/>
    <n v="150423"/>
  </r>
  <r>
    <x v="17"/>
    <x v="2"/>
    <x v="1"/>
    <n v="63725"/>
    <n v="16747"/>
  </r>
  <r>
    <x v="17"/>
    <x v="2"/>
    <x v="2"/>
    <n v="632096"/>
    <n v="525821"/>
  </r>
  <r>
    <x v="17"/>
    <x v="2"/>
    <x v="3"/>
    <n v="401272"/>
    <n v="186095"/>
  </r>
  <r>
    <x v="17"/>
    <x v="2"/>
    <x v="4"/>
    <n v="100194"/>
    <n v="88439"/>
  </r>
  <r>
    <x v="17"/>
    <x v="2"/>
    <x v="5"/>
    <n v="63498"/>
    <n v="14789"/>
  </r>
  <r>
    <x v="17"/>
    <x v="2"/>
    <x v="6"/>
    <n v="31192"/>
    <n v="8183"/>
  </r>
  <r>
    <x v="17"/>
    <x v="2"/>
    <x v="7"/>
    <n v="401104"/>
    <n v="233566"/>
  </r>
  <r>
    <x v="17"/>
    <x v="2"/>
    <x v="8"/>
    <n v="100382"/>
    <n v="6280"/>
  </r>
  <r>
    <x v="17"/>
    <x v="2"/>
    <x v="9"/>
    <n v="90018"/>
    <n v="61396"/>
  </r>
  <r>
    <x v="17"/>
    <x v="3"/>
    <x v="0"/>
    <n v="827600"/>
    <n v="51668"/>
  </r>
  <r>
    <x v="17"/>
    <x v="3"/>
    <x v="1"/>
    <n v="64018"/>
    <n v="6333"/>
  </r>
  <r>
    <x v="17"/>
    <x v="3"/>
    <x v="2"/>
    <n v="632797"/>
    <n v="377942"/>
  </r>
  <r>
    <x v="17"/>
    <x v="3"/>
    <x v="3"/>
    <n v="400771"/>
    <n v="82276"/>
  </r>
  <r>
    <x v="17"/>
    <x v="3"/>
    <x v="4"/>
    <n v="100314"/>
    <n v="69491"/>
  </r>
  <r>
    <x v="17"/>
    <x v="3"/>
    <x v="5"/>
    <n v="64292"/>
    <n v="5438"/>
  </r>
  <r>
    <x v="17"/>
    <x v="3"/>
    <x v="6"/>
    <n v="30842"/>
    <n v="3035"/>
  </r>
  <r>
    <x v="17"/>
    <x v="3"/>
    <x v="7"/>
    <n v="400249"/>
    <n v="118270"/>
  </r>
  <r>
    <x v="17"/>
    <x v="3"/>
    <x v="8"/>
    <n v="100281"/>
    <n v="1951"/>
  </r>
  <r>
    <x v="17"/>
    <x v="3"/>
    <x v="9"/>
    <n v="89638"/>
    <n v="35231"/>
  </r>
  <r>
    <x v="18"/>
    <x v="0"/>
    <x v="0"/>
    <n v="2626091"/>
    <n v="261525"/>
  </r>
  <r>
    <x v="18"/>
    <x v="0"/>
    <x v="1"/>
    <n v="202300"/>
    <n v="30599"/>
  </r>
  <r>
    <x v="18"/>
    <x v="0"/>
    <x v="2"/>
    <n v="1994736"/>
    <n v="1418777"/>
  </r>
  <r>
    <x v="18"/>
    <x v="0"/>
    <x v="3"/>
    <n v="1270038"/>
    <n v="381759"/>
  </r>
  <r>
    <x v="18"/>
    <x v="0"/>
    <x v="4"/>
    <n v="314814"/>
    <n v="247845"/>
  </r>
  <r>
    <x v="18"/>
    <x v="0"/>
    <x v="5"/>
    <n v="202464"/>
    <n v="26101"/>
  </r>
  <r>
    <x v="18"/>
    <x v="0"/>
    <x v="6"/>
    <n v="96473"/>
    <n v="14618"/>
  </r>
  <r>
    <x v="18"/>
    <x v="0"/>
    <x v="7"/>
    <n v="1267668"/>
    <n v="520179"/>
  </r>
  <r>
    <x v="18"/>
    <x v="0"/>
    <x v="8"/>
    <n v="314963"/>
    <n v="10125"/>
  </r>
  <r>
    <x v="18"/>
    <x v="0"/>
    <x v="9"/>
    <n v="284788"/>
    <n v="147101"/>
  </r>
  <r>
    <x v="18"/>
    <x v="1"/>
    <x v="0"/>
    <n v="436836"/>
    <n v="134085"/>
  </r>
  <r>
    <x v="18"/>
    <x v="1"/>
    <x v="1"/>
    <n v="33628"/>
    <n v="14091"/>
  </r>
  <r>
    <x v="18"/>
    <x v="1"/>
    <x v="2"/>
    <n v="332420"/>
    <n v="301635"/>
  </r>
  <r>
    <x v="18"/>
    <x v="1"/>
    <x v="3"/>
    <n v="211589"/>
    <n v="133346"/>
  </r>
  <r>
    <x v="18"/>
    <x v="1"/>
    <x v="4"/>
    <n v="52217"/>
    <n v="48978"/>
  </r>
  <r>
    <x v="18"/>
    <x v="1"/>
    <x v="5"/>
    <n v="33833"/>
    <n v="12770"/>
  </r>
  <r>
    <x v="18"/>
    <x v="1"/>
    <x v="6"/>
    <n v="16174"/>
    <n v="6718"/>
  </r>
  <r>
    <x v="18"/>
    <x v="1"/>
    <x v="7"/>
    <n v="212509"/>
    <n v="156357"/>
  </r>
  <r>
    <x v="18"/>
    <x v="1"/>
    <x v="8"/>
    <n v="52233"/>
    <n v="5939"/>
  </r>
  <r>
    <x v="18"/>
    <x v="1"/>
    <x v="9"/>
    <n v="47224"/>
    <n v="38291"/>
  </r>
  <r>
    <x v="18"/>
    <x v="2"/>
    <x v="0"/>
    <n v="876332"/>
    <n v="158760"/>
  </r>
  <r>
    <x v="18"/>
    <x v="2"/>
    <x v="1"/>
    <n v="67593"/>
    <n v="17671"/>
  </r>
  <r>
    <x v="18"/>
    <x v="2"/>
    <x v="2"/>
    <n v="664272"/>
    <n v="551515"/>
  </r>
  <r>
    <x v="18"/>
    <x v="2"/>
    <x v="3"/>
    <n v="421672"/>
    <n v="194692"/>
  </r>
  <r>
    <x v="18"/>
    <x v="2"/>
    <x v="4"/>
    <n v="105005"/>
    <n v="92406"/>
  </r>
  <r>
    <x v="18"/>
    <x v="2"/>
    <x v="5"/>
    <n v="67249"/>
    <n v="15699"/>
  </r>
  <r>
    <x v="18"/>
    <x v="2"/>
    <x v="6"/>
    <n v="32196"/>
    <n v="8445"/>
  </r>
  <r>
    <x v="18"/>
    <x v="2"/>
    <x v="7"/>
    <n v="422508"/>
    <n v="245253"/>
  </r>
  <r>
    <x v="18"/>
    <x v="2"/>
    <x v="8"/>
    <n v="105003"/>
    <n v="6390"/>
  </r>
  <r>
    <x v="18"/>
    <x v="2"/>
    <x v="9"/>
    <n v="95188"/>
    <n v="64697"/>
  </r>
  <r>
    <x v="18"/>
    <x v="3"/>
    <x v="0"/>
    <n v="876856"/>
    <n v="54509"/>
  </r>
  <r>
    <x v="18"/>
    <x v="3"/>
    <x v="1"/>
    <n v="68138"/>
    <n v="6658"/>
  </r>
  <r>
    <x v="18"/>
    <x v="3"/>
    <x v="2"/>
    <n v="664887"/>
    <n v="396227"/>
  </r>
  <r>
    <x v="18"/>
    <x v="3"/>
    <x v="3"/>
    <n v="422301"/>
    <n v="86366"/>
  </r>
  <r>
    <x v="18"/>
    <x v="3"/>
    <x v="4"/>
    <n v="104921"/>
    <n v="72370"/>
  </r>
  <r>
    <x v="18"/>
    <x v="3"/>
    <x v="5"/>
    <n v="67690"/>
    <n v="5563"/>
  </r>
  <r>
    <x v="18"/>
    <x v="3"/>
    <x v="6"/>
    <n v="32000"/>
    <n v="3072"/>
  </r>
  <r>
    <x v="18"/>
    <x v="3"/>
    <x v="7"/>
    <n v="422760"/>
    <n v="124839"/>
  </r>
  <r>
    <x v="18"/>
    <x v="3"/>
    <x v="8"/>
    <n v="104466"/>
    <n v="1984"/>
  </r>
  <r>
    <x v="18"/>
    <x v="3"/>
    <x v="9"/>
    <n v="94939"/>
    <n v="37148"/>
  </r>
  <r>
    <x v="19"/>
    <x v="0"/>
    <x v="0"/>
    <n v="2770866"/>
    <n v="274294"/>
  </r>
  <r>
    <x v="19"/>
    <x v="0"/>
    <x v="1"/>
    <n v="214350"/>
    <n v="32161"/>
  </r>
  <r>
    <x v="19"/>
    <x v="0"/>
    <x v="2"/>
    <n v="2092631"/>
    <n v="1484697"/>
  </r>
  <r>
    <x v="19"/>
    <x v="0"/>
    <x v="3"/>
    <n v="1339047"/>
    <n v="399177"/>
  </r>
  <r>
    <x v="19"/>
    <x v="0"/>
    <x v="4"/>
    <n v="327276"/>
    <n v="257230"/>
  </r>
  <r>
    <x v="19"/>
    <x v="0"/>
    <x v="5"/>
    <n v="214151"/>
    <n v="27975"/>
  </r>
  <r>
    <x v="19"/>
    <x v="0"/>
    <x v="6"/>
    <n v="100785"/>
    <n v="14919"/>
  </r>
  <r>
    <x v="19"/>
    <x v="0"/>
    <x v="7"/>
    <n v="1333096"/>
    <n v="545061"/>
  </r>
  <r>
    <x v="19"/>
    <x v="0"/>
    <x v="8"/>
    <n v="327624"/>
    <n v="10073"/>
  </r>
  <r>
    <x v="19"/>
    <x v="0"/>
    <x v="9"/>
    <n v="302363"/>
    <n v="155872"/>
  </r>
  <r>
    <x v="19"/>
    <x v="1"/>
    <x v="0"/>
    <n v="462634"/>
    <n v="140796"/>
  </r>
  <r>
    <x v="19"/>
    <x v="1"/>
    <x v="1"/>
    <n v="35754"/>
    <n v="14784"/>
  </r>
  <r>
    <x v="19"/>
    <x v="1"/>
    <x v="2"/>
    <n v="348461"/>
    <n v="316102"/>
  </r>
  <r>
    <x v="19"/>
    <x v="1"/>
    <x v="3"/>
    <n v="222970"/>
    <n v="140230"/>
  </r>
  <r>
    <x v="19"/>
    <x v="1"/>
    <x v="4"/>
    <n v="54400"/>
    <n v="50936"/>
  </r>
  <r>
    <x v="19"/>
    <x v="1"/>
    <x v="5"/>
    <n v="35836"/>
    <n v="13354"/>
  </r>
  <r>
    <x v="19"/>
    <x v="1"/>
    <x v="6"/>
    <n v="16772"/>
    <n v="6965"/>
  </r>
  <r>
    <x v="19"/>
    <x v="1"/>
    <x v="7"/>
    <n v="222819"/>
    <n v="163535"/>
  </r>
  <r>
    <x v="19"/>
    <x v="1"/>
    <x v="8"/>
    <n v="54711"/>
    <n v="6242"/>
  </r>
  <r>
    <x v="19"/>
    <x v="1"/>
    <x v="9"/>
    <n v="50282"/>
    <n v="40654"/>
  </r>
  <r>
    <x v="19"/>
    <x v="2"/>
    <x v="0"/>
    <n v="923391"/>
    <n v="165974"/>
  </r>
  <r>
    <x v="19"/>
    <x v="2"/>
    <x v="1"/>
    <n v="71064"/>
    <n v="18383"/>
  </r>
  <r>
    <x v="19"/>
    <x v="2"/>
    <x v="2"/>
    <n v="696559"/>
    <n v="578473"/>
  </r>
  <r>
    <x v="19"/>
    <x v="2"/>
    <x v="3"/>
    <n v="445300"/>
    <n v="205368"/>
  </r>
  <r>
    <x v="19"/>
    <x v="2"/>
    <x v="4"/>
    <n v="108851"/>
    <n v="95917"/>
  </r>
  <r>
    <x v="19"/>
    <x v="2"/>
    <x v="5"/>
    <n v="71785"/>
    <n v="16475"/>
  </r>
  <r>
    <x v="19"/>
    <x v="2"/>
    <x v="6"/>
    <n v="33739"/>
    <n v="8727"/>
  </r>
  <r>
    <x v="19"/>
    <x v="2"/>
    <x v="7"/>
    <n v="444495"/>
    <n v="258353"/>
  </r>
  <r>
    <x v="19"/>
    <x v="2"/>
    <x v="8"/>
    <n v="109114"/>
    <n v="6507"/>
  </r>
  <r>
    <x v="19"/>
    <x v="2"/>
    <x v="9"/>
    <n v="101330"/>
    <n v="69093"/>
  </r>
  <r>
    <x v="19"/>
    <x v="3"/>
    <x v="0"/>
    <n v="923877"/>
    <n v="56605"/>
  </r>
  <r>
    <x v="19"/>
    <x v="3"/>
    <x v="1"/>
    <n v="71385"/>
    <n v="6791"/>
  </r>
  <r>
    <x v="19"/>
    <x v="3"/>
    <x v="2"/>
    <n v="697009"/>
    <n v="414169"/>
  </r>
  <r>
    <x v="19"/>
    <x v="3"/>
    <x v="3"/>
    <n v="445279"/>
    <n v="90823"/>
  </r>
  <r>
    <x v="19"/>
    <x v="3"/>
    <x v="4"/>
    <n v="108866"/>
    <n v="74904"/>
  </r>
  <r>
    <x v="19"/>
    <x v="3"/>
    <x v="5"/>
    <n v="71053"/>
    <n v="5881"/>
  </r>
  <r>
    <x v="19"/>
    <x v="3"/>
    <x v="6"/>
    <n v="33494"/>
    <n v="3264"/>
  </r>
  <r>
    <x v="19"/>
    <x v="3"/>
    <x v="7"/>
    <n v="446162"/>
    <n v="131210"/>
  </r>
  <r>
    <x v="19"/>
    <x v="3"/>
    <x v="8"/>
    <n v="108845"/>
    <n v="2004"/>
  </r>
  <r>
    <x v="19"/>
    <x v="3"/>
    <x v="9"/>
    <n v="100934"/>
    <n v="39083"/>
  </r>
  <r>
    <x v="20"/>
    <x v="4"/>
    <x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C0F9F-39E0-4775-B75F-6343F708BEB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C24" firstHeaderRow="0" firstDataRow="1" firstDataCol="1"/>
  <pivotFields count="5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s" fld="3" baseField="0" baseItem="0"/>
    <dataField name="Sum of conversions" fld="4" baseField="0" baseItem="0"/>
  </dataFields>
  <chartFormats count="4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98966-49F8-407A-B1D8-1409D79D53A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5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s" fld="3" baseField="0" baseItem="0"/>
    <dataField name="Sum of conversion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DB675-700A-4DED-8133-DFCF464CD66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5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s" fld="3" baseField="0" baseItem="0"/>
    <dataField name="Sum of conversion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23AE1-D94A-4468-981A-AD6DAF1286AB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7" firstHeaderRow="1" firstDataRow="3" firstDataCol="1"/>
  <pivotFields count="5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visits" fld="3" baseField="0" baseItem="0"/>
    <dataField name="Sum of conversions" fld="4" baseField="0" baseItem="0"/>
  </dataFields>
  <formats count="2">
    <format dxfId="5">
      <pivotArea collapsedLevelsAreSubtotals="1" fieldPosition="0">
        <references count="1">
          <reference field="0" count="1">
            <x v="7"/>
          </reference>
        </references>
      </pivotArea>
    </format>
    <format dxfId="4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59200-B919-469F-A2B2-F71B17662BD5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27" firstHeaderRow="1" firstDataRow="3" firstDataCol="1"/>
  <pivotFields count="5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2"/>
    <field x="-2"/>
  </colFields>
  <colItems count="2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 t="grand">
      <x/>
    </i>
    <i t="grand" i="1">
      <x/>
    </i>
  </colItems>
  <dataFields count="2">
    <dataField name="Sum of visits" fld="3" baseField="0" baseItem="0"/>
    <dataField name="Sum of conversions" fld="4" baseField="0" baseItem="0"/>
  </dataFields>
  <formats count="4">
    <format dxfId="3">
      <pivotArea collapsedLevelsAreSubtotals="1" fieldPosition="0">
        <references count="1">
          <reference field="0" count="1">
            <x v="6"/>
          </reference>
        </references>
      </pivotArea>
    </format>
    <format dxfId="2">
      <pivotArea dataOnly="0" labelOnly="1" fieldPosition="0">
        <references count="1">
          <reference field="0" count="1">
            <x v="6"/>
          </reference>
        </references>
      </pivotArea>
    </format>
    <format dxfId="1">
      <pivotArea collapsedLevelsAreSubtotals="1" fieldPosition="0">
        <references count="1">
          <reference field="0" count="1">
            <x v="7"/>
          </reference>
        </references>
      </pivotArea>
    </format>
    <format dxfId="0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9A96D-D148-4636-855D-3934FE5D2952}" name="Table1" displayName="Table1" ref="A3:E203" totalsRowShown="0">
  <autoFilter ref="A3:E203" xr:uid="{0959A96D-D148-4636-855D-3934FE5D2952}"/>
  <tableColumns count="5">
    <tableColumn id="1" xr3:uid="{60D44DBB-5C01-44F3-B5EC-D474CD80C1D5}" name="week"/>
    <tableColumn id="2" xr3:uid="{193418CA-C9B1-454B-9167-AD160DF80532}" name="browser"/>
    <tableColumn id="3" xr3:uid="{EDB18E2E-1ABA-48BD-BE02-559D91097679}" name="country"/>
    <tableColumn id="4" xr3:uid="{75F412A4-BBA3-461D-ACAB-61027EC45962}" name="visits"/>
    <tableColumn id="5" xr3:uid="{B2FD8AB0-17B7-431A-B8AB-EB73529A0A27}" name="conver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01"/>
  <sheetViews>
    <sheetView workbookViewId="0">
      <selection activeCell="H20" sqref="H20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 t="s">
        <v>6</v>
      </c>
      <c r="D2" s="1">
        <v>241655</v>
      </c>
      <c r="E2" s="1">
        <v>26787</v>
      </c>
    </row>
    <row r="3" spans="1:5" x14ac:dyDescent="0.25">
      <c r="A3" s="1">
        <v>0</v>
      </c>
      <c r="B3" s="1" t="s">
        <v>5</v>
      </c>
      <c r="C3" s="1" t="s">
        <v>7</v>
      </c>
      <c r="D3" s="1">
        <v>18041</v>
      </c>
      <c r="E3" s="1">
        <v>3230</v>
      </c>
    </row>
    <row r="4" spans="1:5" x14ac:dyDescent="0.25">
      <c r="A4" s="1">
        <v>0</v>
      </c>
      <c r="B4" s="1" t="s">
        <v>5</v>
      </c>
      <c r="C4" s="1" t="s">
        <v>8</v>
      </c>
      <c r="D4" s="1">
        <v>101680</v>
      </c>
      <c r="E4" s="1">
        <v>75034</v>
      </c>
    </row>
    <row r="5" spans="1:5" x14ac:dyDescent="0.25">
      <c r="A5" s="1">
        <v>0</v>
      </c>
      <c r="B5" s="1" t="s">
        <v>5</v>
      </c>
      <c r="C5" s="1" t="s">
        <v>9</v>
      </c>
      <c r="D5" s="1">
        <v>120393</v>
      </c>
      <c r="E5" s="1">
        <v>39988</v>
      </c>
    </row>
    <row r="6" spans="1:5" x14ac:dyDescent="0.25">
      <c r="A6" s="1">
        <v>0</v>
      </c>
      <c r="B6" s="1" t="s">
        <v>5</v>
      </c>
      <c r="C6" s="1" t="s">
        <v>10</v>
      </c>
      <c r="D6" s="1">
        <v>35729</v>
      </c>
      <c r="E6" s="1">
        <v>29274</v>
      </c>
    </row>
    <row r="7" spans="1:5" x14ac:dyDescent="0.25">
      <c r="A7" s="1">
        <v>0</v>
      </c>
      <c r="B7" s="1" t="s">
        <v>5</v>
      </c>
      <c r="C7" s="1" t="s">
        <v>11</v>
      </c>
      <c r="D7" s="1">
        <v>17891</v>
      </c>
      <c r="E7" s="1">
        <v>2522</v>
      </c>
    </row>
    <row r="8" spans="1:5" x14ac:dyDescent="0.25">
      <c r="A8" s="1">
        <v>0</v>
      </c>
      <c r="B8" s="1" t="s">
        <v>5</v>
      </c>
      <c r="C8" s="1" t="s">
        <v>12</v>
      </c>
      <c r="D8" s="1">
        <v>11762</v>
      </c>
      <c r="E8" s="1">
        <v>2063</v>
      </c>
    </row>
    <row r="9" spans="1:5" x14ac:dyDescent="0.25">
      <c r="A9" s="1">
        <v>0</v>
      </c>
      <c r="B9" s="1" t="s">
        <v>5</v>
      </c>
      <c r="C9" s="1" t="s">
        <v>13</v>
      </c>
      <c r="D9" s="1">
        <v>120293</v>
      </c>
      <c r="E9" s="1">
        <v>51068</v>
      </c>
    </row>
    <row r="10" spans="1:5" x14ac:dyDescent="0.25">
      <c r="A10" s="1">
        <v>0</v>
      </c>
      <c r="B10" s="1" t="s">
        <v>5</v>
      </c>
      <c r="C10" s="1" t="s">
        <v>14</v>
      </c>
      <c r="D10" s="1">
        <v>35746</v>
      </c>
      <c r="E10" s="1">
        <v>1853</v>
      </c>
    </row>
    <row r="11" spans="1:5" x14ac:dyDescent="0.25">
      <c r="A11" s="1">
        <v>0</v>
      </c>
      <c r="B11" s="1" t="s">
        <v>5</v>
      </c>
      <c r="C11" s="1" t="s">
        <v>15</v>
      </c>
      <c r="D11" s="1">
        <v>24315</v>
      </c>
      <c r="E11" s="1">
        <v>13114</v>
      </c>
    </row>
    <row r="12" spans="1:5" x14ac:dyDescent="0.25">
      <c r="A12" s="1">
        <v>0</v>
      </c>
      <c r="B12" s="1" t="s">
        <v>16</v>
      </c>
      <c r="C12" s="1" t="s">
        <v>6</v>
      </c>
      <c r="D12" s="1">
        <v>39980</v>
      </c>
      <c r="E12" s="1">
        <v>13242</v>
      </c>
    </row>
    <row r="13" spans="1:5" x14ac:dyDescent="0.25">
      <c r="A13" s="1">
        <v>0</v>
      </c>
      <c r="B13" s="1" t="s">
        <v>16</v>
      </c>
      <c r="C13" s="1" t="s">
        <v>7</v>
      </c>
      <c r="D13" s="1">
        <v>3013</v>
      </c>
      <c r="E13" s="1">
        <v>1372</v>
      </c>
    </row>
    <row r="14" spans="1:5" x14ac:dyDescent="0.25">
      <c r="A14" s="1">
        <v>0</v>
      </c>
      <c r="B14" s="1" t="s">
        <v>16</v>
      </c>
      <c r="C14" s="1" t="s">
        <v>8</v>
      </c>
      <c r="D14" s="1">
        <v>17037</v>
      </c>
      <c r="E14" s="1">
        <v>15643</v>
      </c>
    </row>
    <row r="15" spans="1:5" x14ac:dyDescent="0.25">
      <c r="A15" s="1">
        <v>0</v>
      </c>
      <c r="B15" s="1" t="s">
        <v>16</v>
      </c>
      <c r="C15" s="1" t="s">
        <v>9</v>
      </c>
      <c r="D15" s="1">
        <v>20099</v>
      </c>
      <c r="E15" s="1">
        <v>13367</v>
      </c>
    </row>
    <row r="16" spans="1:5" x14ac:dyDescent="0.25">
      <c r="A16" s="1">
        <v>0</v>
      </c>
      <c r="B16" s="1" t="s">
        <v>16</v>
      </c>
      <c r="C16" s="1" t="s">
        <v>10</v>
      </c>
      <c r="D16" s="1">
        <v>5927</v>
      </c>
      <c r="E16" s="1">
        <v>5642</v>
      </c>
    </row>
    <row r="17" spans="1:5" x14ac:dyDescent="0.25">
      <c r="A17" s="1">
        <v>0</v>
      </c>
      <c r="B17" s="1" t="s">
        <v>16</v>
      </c>
      <c r="C17" s="1" t="s">
        <v>11</v>
      </c>
      <c r="D17" s="1">
        <v>2977</v>
      </c>
      <c r="E17" s="1">
        <v>1228</v>
      </c>
    </row>
    <row r="18" spans="1:5" x14ac:dyDescent="0.25">
      <c r="A18" s="1">
        <v>0</v>
      </c>
      <c r="B18" s="1" t="s">
        <v>16</v>
      </c>
      <c r="C18" s="1" t="s">
        <v>12</v>
      </c>
      <c r="D18" s="1">
        <v>1942</v>
      </c>
      <c r="E18" s="1">
        <v>921</v>
      </c>
    </row>
    <row r="19" spans="1:5" x14ac:dyDescent="0.25">
      <c r="A19" s="1">
        <v>0</v>
      </c>
      <c r="B19" s="1" t="s">
        <v>16</v>
      </c>
      <c r="C19" s="1" t="s">
        <v>13</v>
      </c>
      <c r="D19" s="1">
        <v>19892</v>
      </c>
      <c r="E19" s="1">
        <v>14849</v>
      </c>
    </row>
    <row r="20" spans="1:5" x14ac:dyDescent="0.25">
      <c r="A20" s="1">
        <v>0</v>
      </c>
      <c r="B20" s="1" t="s">
        <v>16</v>
      </c>
      <c r="C20" s="1" t="s">
        <v>14</v>
      </c>
      <c r="D20" s="1">
        <v>6058</v>
      </c>
      <c r="E20" s="1">
        <v>1033</v>
      </c>
    </row>
    <row r="21" spans="1:5" x14ac:dyDescent="0.25">
      <c r="A21" s="1">
        <v>0</v>
      </c>
      <c r="B21" s="1" t="s">
        <v>16</v>
      </c>
      <c r="C21" s="1" t="s">
        <v>15</v>
      </c>
      <c r="D21" s="1">
        <v>4150</v>
      </c>
      <c r="E21" s="1">
        <v>3398</v>
      </c>
    </row>
    <row r="22" spans="1:5" x14ac:dyDescent="0.25">
      <c r="A22" s="1">
        <v>0</v>
      </c>
      <c r="B22" s="1" t="s">
        <v>17</v>
      </c>
      <c r="C22" s="1" t="s">
        <v>6</v>
      </c>
      <c r="D22" s="1">
        <v>80590</v>
      </c>
      <c r="E22" s="1">
        <v>16173</v>
      </c>
    </row>
    <row r="23" spans="1:5" x14ac:dyDescent="0.25">
      <c r="A23" s="1">
        <v>0</v>
      </c>
      <c r="B23" s="1" t="s">
        <v>17</v>
      </c>
      <c r="C23" s="1" t="s">
        <v>7</v>
      </c>
      <c r="D23" s="1">
        <v>5976</v>
      </c>
      <c r="E23" s="1">
        <v>1782</v>
      </c>
    </row>
    <row r="24" spans="1:5" x14ac:dyDescent="0.25">
      <c r="A24" s="1">
        <v>0</v>
      </c>
      <c r="B24" s="1" t="s">
        <v>17</v>
      </c>
      <c r="C24" s="1" t="s">
        <v>8</v>
      </c>
      <c r="D24" s="1">
        <v>34203</v>
      </c>
      <c r="E24" s="1">
        <v>29132</v>
      </c>
    </row>
    <row r="25" spans="1:5" x14ac:dyDescent="0.25">
      <c r="A25" s="1">
        <v>0</v>
      </c>
      <c r="B25" s="1" t="s">
        <v>17</v>
      </c>
      <c r="C25" s="1" t="s">
        <v>9</v>
      </c>
      <c r="D25" s="1">
        <v>40579</v>
      </c>
      <c r="E25" s="1">
        <v>20102</v>
      </c>
    </row>
    <row r="26" spans="1:5" x14ac:dyDescent="0.25">
      <c r="A26" s="1">
        <v>0</v>
      </c>
      <c r="B26" s="1" t="s">
        <v>17</v>
      </c>
      <c r="C26" s="1" t="s">
        <v>10</v>
      </c>
      <c r="D26" s="1">
        <v>11836</v>
      </c>
      <c r="E26" s="1">
        <v>10632</v>
      </c>
    </row>
    <row r="27" spans="1:5" x14ac:dyDescent="0.25">
      <c r="A27" s="1">
        <v>0</v>
      </c>
      <c r="B27" s="1" t="s">
        <v>17</v>
      </c>
      <c r="C27" s="1" t="s">
        <v>11</v>
      </c>
      <c r="D27" s="1">
        <v>6128</v>
      </c>
      <c r="E27" s="1">
        <v>1531</v>
      </c>
    </row>
    <row r="28" spans="1:5" x14ac:dyDescent="0.25">
      <c r="A28" s="1">
        <v>0</v>
      </c>
      <c r="B28" s="1" t="s">
        <v>17</v>
      </c>
      <c r="C28" s="1" t="s">
        <v>12</v>
      </c>
      <c r="D28" s="1">
        <v>4035</v>
      </c>
      <c r="E28" s="1">
        <v>1237</v>
      </c>
    </row>
    <row r="29" spans="1:5" x14ac:dyDescent="0.25">
      <c r="A29" s="1">
        <v>0</v>
      </c>
      <c r="B29" s="1" t="s">
        <v>17</v>
      </c>
      <c r="C29" s="1" t="s">
        <v>13</v>
      </c>
      <c r="D29" s="1">
        <v>40456</v>
      </c>
      <c r="E29" s="1">
        <v>24168</v>
      </c>
    </row>
    <row r="30" spans="1:5" x14ac:dyDescent="0.25">
      <c r="A30" s="1">
        <v>0</v>
      </c>
      <c r="B30" s="1" t="s">
        <v>17</v>
      </c>
      <c r="C30" s="1" t="s">
        <v>14</v>
      </c>
      <c r="D30" s="1">
        <v>11895</v>
      </c>
      <c r="E30" s="1">
        <v>1135</v>
      </c>
    </row>
    <row r="31" spans="1:5" x14ac:dyDescent="0.25">
      <c r="A31" s="1">
        <v>0</v>
      </c>
      <c r="B31" s="1" t="s">
        <v>17</v>
      </c>
      <c r="C31" s="1" t="s">
        <v>15</v>
      </c>
      <c r="D31" s="1">
        <v>8144</v>
      </c>
      <c r="E31" s="1">
        <v>5621</v>
      </c>
    </row>
    <row r="32" spans="1:5" x14ac:dyDescent="0.25">
      <c r="A32" s="1">
        <v>0</v>
      </c>
      <c r="B32" s="1" t="s">
        <v>18</v>
      </c>
      <c r="C32" s="1" t="s">
        <v>6</v>
      </c>
      <c r="D32" s="1">
        <v>80796</v>
      </c>
      <c r="E32" s="1">
        <v>5707</v>
      </c>
    </row>
    <row r="33" spans="1:5" x14ac:dyDescent="0.25">
      <c r="A33" s="1">
        <v>0</v>
      </c>
      <c r="B33" s="1" t="s">
        <v>18</v>
      </c>
      <c r="C33" s="1" t="s">
        <v>7</v>
      </c>
      <c r="D33" s="1">
        <v>6002</v>
      </c>
      <c r="E33" s="1">
        <v>690</v>
      </c>
    </row>
    <row r="34" spans="1:5" x14ac:dyDescent="0.25">
      <c r="A34" s="1">
        <v>0</v>
      </c>
      <c r="B34" s="1" t="s">
        <v>18</v>
      </c>
      <c r="C34" s="1" t="s">
        <v>8</v>
      </c>
      <c r="D34" s="1">
        <v>34200</v>
      </c>
      <c r="E34" s="1">
        <v>21533</v>
      </c>
    </row>
    <row r="35" spans="1:5" x14ac:dyDescent="0.25">
      <c r="A35" s="1">
        <v>0</v>
      </c>
      <c r="B35" s="1" t="s">
        <v>18</v>
      </c>
      <c r="C35" s="1" t="s">
        <v>9</v>
      </c>
      <c r="D35" s="1">
        <v>40364</v>
      </c>
      <c r="E35" s="1">
        <v>9327</v>
      </c>
    </row>
    <row r="36" spans="1:5" x14ac:dyDescent="0.25">
      <c r="A36" s="1">
        <v>0</v>
      </c>
      <c r="B36" s="1" t="s">
        <v>18</v>
      </c>
      <c r="C36" s="1" t="s">
        <v>10</v>
      </c>
      <c r="D36" s="1">
        <v>11839</v>
      </c>
      <c r="E36" s="1">
        <v>8651</v>
      </c>
    </row>
    <row r="37" spans="1:5" x14ac:dyDescent="0.25">
      <c r="A37" s="1">
        <v>0</v>
      </c>
      <c r="B37" s="1" t="s">
        <v>18</v>
      </c>
      <c r="C37" s="1" t="s">
        <v>11</v>
      </c>
      <c r="D37" s="1">
        <v>6103</v>
      </c>
      <c r="E37" s="1">
        <v>554</v>
      </c>
    </row>
    <row r="38" spans="1:5" x14ac:dyDescent="0.25">
      <c r="A38" s="1">
        <v>0</v>
      </c>
      <c r="B38" s="1" t="s">
        <v>18</v>
      </c>
      <c r="C38" s="1" t="s">
        <v>12</v>
      </c>
      <c r="D38" s="1">
        <v>3997</v>
      </c>
      <c r="E38" s="1">
        <v>439</v>
      </c>
    </row>
    <row r="39" spans="1:5" x14ac:dyDescent="0.25">
      <c r="A39" s="1">
        <v>0</v>
      </c>
      <c r="B39" s="1" t="s">
        <v>18</v>
      </c>
      <c r="C39" s="1" t="s">
        <v>13</v>
      </c>
      <c r="D39" s="1">
        <v>39899</v>
      </c>
      <c r="E39" s="1">
        <v>12242</v>
      </c>
    </row>
    <row r="40" spans="1:5" x14ac:dyDescent="0.25">
      <c r="A40" s="1">
        <v>0</v>
      </c>
      <c r="B40" s="1" t="s">
        <v>18</v>
      </c>
      <c r="C40" s="1" t="s">
        <v>14</v>
      </c>
      <c r="D40" s="1">
        <v>12129</v>
      </c>
      <c r="E40" s="1">
        <v>414</v>
      </c>
    </row>
    <row r="41" spans="1:5" x14ac:dyDescent="0.25">
      <c r="A41" s="1">
        <v>0</v>
      </c>
      <c r="B41" s="1" t="s">
        <v>18</v>
      </c>
      <c r="C41" s="1" t="s">
        <v>15</v>
      </c>
      <c r="D41" s="1">
        <v>8156</v>
      </c>
      <c r="E41" s="1">
        <v>3286</v>
      </c>
    </row>
    <row r="42" spans="1:5" x14ac:dyDescent="0.25">
      <c r="A42" s="1">
        <v>1</v>
      </c>
      <c r="B42" s="1" t="s">
        <v>5</v>
      </c>
      <c r="C42" s="1" t="s">
        <v>6</v>
      </c>
      <c r="D42" s="1">
        <v>364376</v>
      </c>
      <c r="E42" s="1">
        <v>40109</v>
      </c>
    </row>
    <row r="43" spans="1:5" x14ac:dyDescent="0.25">
      <c r="A43" s="1">
        <v>1</v>
      </c>
      <c r="B43" s="1" t="s">
        <v>5</v>
      </c>
      <c r="C43" s="1" t="s">
        <v>7</v>
      </c>
      <c r="D43" s="1">
        <v>27389</v>
      </c>
      <c r="E43" s="1">
        <v>4681</v>
      </c>
    </row>
    <row r="44" spans="1:5" x14ac:dyDescent="0.25">
      <c r="A44" s="1">
        <v>1</v>
      </c>
      <c r="B44" s="1" t="s">
        <v>5</v>
      </c>
      <c r="C44" s="1" t="s">
        <v>8</v>
      </c>
      <c r="D44" s="1">
        <v>152723</v>
      </c>
      <c r="E44" s="1">
        <v>112238</v>
      </c>
    </row>
    <row r="45" spans="1:5" x14ac:dyDescent="0.25">
      <c r="A45" s="1">
        <v>1</v>
      </c>
      <c r="B45" s="1" t="s">
        <v>5</v>
      </c>
      <c r="C45" s="1" t="s">
        <v>9</v>
      </c>
      <c r="D45" s="1">
        <v>181662</v>
      </c>
      <c r="E45" s="1">
        <v>59800</v>
      </c>
    </row>
    <row r="46" spans="1:5" x14ac:dyDescent="0.25">
      <c r="A46" s="1">
        <v>1</v>
      </c>
      <c r="B46" s="1" t="s">
        <v>5</v>
      </c>
      <c r="C46" s="1" t="s">
        <v>10</v>
      </c>
      <c r="D46" s="1">
        <v>53079</v>
      </c>
      <c r="E46" s="1">
        <v>43220</v>
      </c>
    </row>
    <row r="47" spans="1:5" x14ac:dyDescent="0.25">
      <c r="A47" s="1">
        <v>1</v>
      </c>
      <c r="B47" s="1" t="s">
        <v>5</v>
      </c>
      <c r="C47" s="1" t="s">
        <v>11</v>
      </c>
      <c r="D47" s="1">
        <v>27865</v>
      </c>
      <c r="E47" s="1">
        <v>3954</v>
      </c>
    </row>
    <row r="48" spans="1:5" x14ac:dyDescent="0.25">
      <c r="A48" s="1">
        <v>1</v>
      </c>
      <c r="B48" s="1" t="s">
        <v>5</v>
      </c>
      <c r="C48" s="1" t="s">
        <v>12</v>
      </c>
      <c r="D48" s="1">
        <v>17600</v>
      </c>
      <c r="E48" s="1">
        <v>3044</v>
      </c>
    </row>
    <row r="49" spans="1:5" x14ac:dyDescent="0.25">
      <c r="A49" s="1">
        <v>1</v>
      </c>
      <c r="B49" s="1" t="s">
        <v>5</v>
      </c>
      <c r="C49" s="1" t="s">
        <v>13</v>
      </c>
      <c r="D49" s="1">
        <v>180954</v>
      </c>
      <c r="E49" s="1">
        <v>77214</v>
      </c>
    </row>
    <row r="50" spans="1:5" x14ac:dyDescent="0.25">
      <c r="A50" s="1">
        <v>1</v>
      </c>
      <c r="B50" s="1" t="s">
        <v>5</v>
      </c>
      <c r="C50" s="1" t="s">
        <v>14</v>
      </c>
      <c r="D50" s="1">
        <v>53350</v>
      </c>
      <c r="E50" s="1">
        <v>2731</v>
      </c>
    </row>
    <row r="51" spans="1:5" x14ac:dyDescent="0.25">
      <c r="A51" s="1">
        <v>1</v>
      </c>
      <c r="B51" s="1" t="s">
        <v>5</v>
      </c>
      <c r="C51" s="1" t="s">
        <v>15</v>
      </c>
      <c r="D51" s="1">
        <v>36654</v>
      </c>
      <c r="E51" s="1">
        <v>19846</v>
      </c>
    </row>
    <row r="52" spans="1:5" x14ac:dyDescent="0.25">
      <c r="A52" s="1">
        <v>1</v>
      </c>
      <c r="B52" s="1" t="s">
        <v>16</v>
      </c>
      <c r="C52" s="1" t="s">
        <v>6</v>
      </c>
      <c r="D52" s="1">
        <v>60770</v>
      </c>
      <c r="E52" s="1">
        <v>20190</v>
      </c>
    </row>
    <row r="53" spans="1:5" x14ac:dyDescent="0.25">
      <c r="A53" s="1">
        <v>1</v>
      </c>
      <c r="B53" s="1" t="s">
        <v>16</v>
      </c>
      <c r="C53" s="1" t="s">
        <v>7</v>
      </c>
      <c r="D53" s="1">
        <v>4543</v>
      </c>
      <c r="E53" s="1">
        <v>2047</v>
      </c>
    </row>
    <row r="54" spans="1:5" x14ac:dyDescent="0.25">
      <c r="A54" s="1">
        <v>1</v>
      </c>
      <c r="B54" s="1" t="s">
        <v>16</v>
      </c>
      <c r="C54" s="1" t="s">
        <v>8</v>
      </c>
      <c r="D54" s="1">
        <v>25440</v>
      </c>
      <c r="E54" s="1">
        <v>23321</v>
      </c>
    </row>
    <row r="55" spans="1:5" x14ac:dyDescent="0.25">
      <c r="A55" s="1">
        <v>1</v>
      </c>
      <c r="B55" s="1" t="s">
        <v>16</v>
      </c>
      <c r="C55" s="1" t="s">
        <v>9</v>
      </c>
      <c r="D55" s="1">
        <v>30296</v>
      </c>
      <c r="E55" s="1">
        <v>20137</v>
      </c>
    </row>
    <row r="56" spans="1:5" x14ac:dyDescent="0.25">
      <c r="A56" s="1">
        <v>1</v>
      </c>
      <c r="B56" s="1" t="s">
        <v>16</v>
      </c>
      <c r="C56" s="1" t="s">
        <v>10</v>
      </c>
      <c r="D56" s="1">
        <v>8890</v>
      </c>
      <c r="E56" s="1">
        <v>8438</v>
      </c>
    </row>
    <row r="57" spans="1:5" x14ac:dyDescent="0.25">
      <c r="A57" s="1">
        <v>1</v>
      </c>
      <c r="B57" s="1" t="s">
        <v>16</v>
      </c>
      <c r="C57" s="1" t="s">
        <v>11</v>
      </c>
      <c r="D57" s="1">
        <v>4432</v>
      </c>
      <c r="E57" s="1">
        <v>1830</v>
      </c>
    </row>
    <row r="58" spans="1:5" x14ac:dyDescent="0.25">
      <c r="A58" s="1">
        <v>1</v>
      </c>
      <c r="B58" s="1" t="s">
        <v>16</v>
      </c>
      <c r="C58" s="1" t="s">
        <v>12</v>
      </c>
      <c r="D58" s="1">
        <v>2911</v>
      </c>
      <c r="E58" s="1">
        <v>1379</v>
      </c>
    </row>
    <row r="59" spans="1:5" x14ac:dyDescent="0.25">
      <c r="A59" s="1">
        <v>1</v>
      </c>
      <c r="B59" s="1" t="s">
        <v>16</v>
      </c>
      <c r="C59" s="1" t="s">
        <v>13</v>
      </c>
      <c r="D59" s="1">
        <v>30110</v>
      </c>
      <c r="E59" s="1">
        <v>22455</v>
      </c>
    </row>
    <row r="60" spans="1:5" x14ac:dyDescent="0.25">
      <c r="A60" s="1">
        <v>1</v>
      </c>
      <c r="B60" s="1" t="s">
        <v>16</v>
      </c>
      <c r="C60" s="1" t="s">
        <v>14</v>
      </c>
      <c r="D60" s="1">
        <v>8804</v>
      </c>
      <c r="E60" s="1">
        <v>1536</v>
      </c>
    </row>
    <row r="61" spans="1:5" x14ac:dyDescent="0.25">
      <c r="A61" s="1">
        <v>1</v>
      </c>
      <c r="B61" s="1" t="s">
        <v>16</v>
      </c>
      <c r="C61" s="1" t="s">
        <v>15</v>
      </c>
      <c r="D61" s="1">
        <v>6138</v>
      </c>
      <c r="E61" s="1">
        <v>5069</v>
      </c>
    </row>
    <row r="62" spans="1:5" x14ac:dyDescent="0.25">
      <c r="A62" s="1">
        <v>1</v>
      </c>
      <c r="B62" s="1" t="s">
        <v>17</v>
      </c>
      <c r="C62" s="1" t="s">
        <v>6</v>
      </c>
      <c r="D62" s="1">
        <v>120727</v>
      </c>
      <c r="E62" s="1">
        <v>24062</v>
      </c>
    </row>
    <row r="63" spans="1:5" x14ac:dyDescent="0.25">
      <c r="A63" s="1">
        <v>1</v>
      </c>
      <c r="B63" s="1" t="s">
        <v>17</v>
      </c>
      <c r="C63" s="1" t="s">
        <v>7</v>
      </c>
      <c r="D63" s="1">
        <v>9152</v>
      </c>
      <c r="E63" s="1">
        <v>2712</v>
      </c>
    </row>
    <row r="64" spans="1:5" x14ac:dyDescent="0.25">
      <c r="A64" s="1">
        <v>1</v>
      </c>
      <c r="B64" s="1" t="s">
        <v>17</v>
      </c>
      <c r="C64" s="1" t="s">
        <v>8</v>
      </c>
      <c r="D64" s="1">
        <v>51180</v>
      </c>
      <c r="E64" s="1">
        <v>43401</v>
      </c>
    </row>
    <row r="65" spans="1:5" x14ac:dyDescent="0.25">
      <c r="A65" s="1">
        <v>1</v>
      </c>
      <c r="B65" s="1" t="s">
        <v>17</v>
      </c>
      <c r="C65" s="1" t="s">
        <v>9</v>
      </c>
      <c r="D65" s="1">
        <v>59741</v>
      </c>
      <c r="E65" s="1">
        <v>29560</v>
      </c>
    </row>
    <row r="66" spans="1:5" x14ac:dyDescent="0.25">
      <c r="A66" s="1">
        <v>1</v>
      </c>
      <c r="B66" s="1" t="s">
        <v>17</v>
      </c>
      <c r="C66" s="1" t="s">
        <v>10</v>
      </c>
      <c r="D66" s="1">
        <v>17800</v>
      </c>
      <c r="E66" s="1">
        <v>15978</v>
      </c>
    </row>
    <row r="67" spans="1:5" x14ac:dyDescent="0.25">
      <c r="A67" s="1">
        <v>1</v>
      </c>
      <c r="B67" s="1" t="s">
        <v>17</v>
      </c>
      <c r="C67" s="1" t="s">
        <v>11</v>
      </c>
      <c r="D67" s="1">
        <v>9092</v>
      </c>
      <c r="E67" s="1">
        <v>2315</v>
      </c>
    </row>
    <row r="68" spans="1:5" x14ac:dyDescent="0.25">
      <c r="A68" s="1">
        <v>1</v>
      </c>
      <c r="B68" s="1" t="s">
        <v>17</v>
      </c>
      <c r="C68" s="1" t="s">
        <v>12</v>
      </c>
      <c r="D68" s="1">
        <v>5957</v>
      </c>
      <c r="E68" s="1">
        <v>1733</v>
      </c>
    </row>
    <row r="69" spans="1:5" x14ac:dyDescent="0.25">
      <c r="A69" s="1">
        <v>1</v>
      </c>
      <c r="B69" s="1" t="s">
        <v>17</v>
      </c>
      <c r="C69" s="1" t="s">
        <v>13</v>
      </c>
      <c r="D69" s="1">
        <v>60036</v>
      </c>
      <c r="E69" s="1">
        <v>35765</v>
      </c>
    </row>
    <row r="70" spans="1:5" x14ac:dyDescent="0.25">
      <c r="A70" s="1">
        <v>1</v>
      </c>
      <c r="B70" s="1" t="s">
        <v>17</v>
      </c>
      <c r="C70" s="1" t="s">
        <v>14</v>
      </c>
      <c r="D70" s="1">
        <v>17832</v>
      </c>
      <c r="E70" s="1">
        <v>1772</v>
      </c>
    </row>
    <row r="71" spans="1:5" x14ac:dyDescent="0.25">
      <c r="A71" s="1">
        <v>1</v>
      </c>
      <c r="B71" s="1" t="s">
        <v>17</v>
      </c>
      <c r="C71" s="1" t="s">
        <v>15</v>
      </c>
      <c r="D71" s="1">
        <v>12179</v>
      </c>
      <c r="E71" s="1">
        <v>8544</v>
      </c>
    </row>
    <row r="72" spans="1:5" x14ac:dyDescent="0.25">
      <c r="A72" s="1">
        <v>1</v>
      </c>
      <c r="B72" s="1" t="s">
        <v>18</v>
      </c>
      <c r="C72" s="1" t="s">
        <v>6</v>
      </c>
      <c r="D72" s="1">
        <v>120845</v>
      </c>
      <c r="E72" s="1">
        <v>8336</v>
      </c>
    </row>
    <row r="73" spans="1:5" x14ac:dyDescent="0.25">
      <c r="A73" s="1">
        <v>1</v>
      </c>
      <c r="B73" s="1" t="s">
        <v>18</v>
      </c>
      <c r="C73" s="1" t="s">
        <v>7</v>
      </c>
      <c r="D73" s="1">
        <v>9146</v>
      </c>
      <c r="E73" s="1">
        <v>1022</v>
      </c>
    </row>
    <row r="74" spans="1:5" x14ac:dyDescent="0.25">
      <c r="A74" s="1">
        <v>1</v>
      </c>
      <c r="B74" s="1" t="s">
        <v>18</v>
      </c>
      <c r="C74" s="1" t="s">
        <v>8</v>
      </c>
      <c r="D74" s="1">
        <v>50326</v>
      </c>
      <c r="E74" s="1">
        <v>31518</v>
      </c>
    </row>
    <row r="75" spans="1:5" x14ac:dyDescent="0.25">
      <c r="A75" s="1">
        <v>1</v>
      </c>
      <c r="B75" s="1" t="s">
        <v>18</v>
      </c>
      <c r="C75" s="1" t="s">
        <v>9</v>
      </c>
      <c r="D75" s="1">
        <v>60260</v>
      </c>
      <c r="E75" s="1">
        <v>13685</v>
      </c>
    </row>
    <row r="76" spans="1:5" x14ac:dyDescent="0.25">
      <c r="A76" s="1">
        <v>1</v>
      </c>
      <c r="B76" s="1" t="s">
        <v>18</v>
      </c>
      <c r="C76" s="1" t="s">
        <v>10</v>
      </c>
      <c r="D76" s="1">
        <v>17581</v>
      </c>
      <c r="E76" s="1">
        <v>12831</v>
      </c>
    </row>
    <row r="77" spans="1:5" x14ac:dyDescent="0.25">
      <c r="A77" s="1">
        <v>1</v>
      </c>
      <c r="B77" s="1" t="s">
        <v>18</v>
      </c>
      <c r="C77" s="1" t="s">
        <v>11</v>
      </c>
      <c r="D77" s="1">
        <v>9107</v>
      </c>
      <c r="E77" s="1">
        <v>840</v>
      </c>
    </row>
    <row r="78" spans="1:5" x14ac:dyDescent="0.25">
      <c r="A78" s="1">
        <v>1</v>
      </c>
      <c r="B78" s="1" t="s">
        <v>18</v>
      </c>
      <c r="C78" s="1" t="s">
        <v>12</v>
      </c>
      <c r="D78" s="1">
        <v>5851</v>
      </c>
      <c r="E78" s="1">
        <v>656</v>
      </c>
    </row>
    <row r="79" spans="1:5" x14ac:dyDescent="0.25">
      <c r="A79" s="1">
        <v>1</v>
      </c>
      <c r="B79" s="1" t="s">
        <v>18</v>
      </c>
      <c r="C79" s="1" t="s">
        <v>13</v>
      </c>
      <c r="D79" s="1">
        <v>60335</v>
      </c>
      <c r="E79" s="1">
        <v>18580</v>
      </c>
    </row>
    <row r="80" spans="1:5" x14ac:dyDescent="0.25">
      <c r="A80" s="1">
        <v>1</v>
      </c>
      <c r="B80" s="1" t="s">
        <v>18</v>
      </c>
      <c r="C80" s="1" t="s">
        <v>14</v>
      </c>
      <c r="D80" s="1">
        <v>17934</v>
      </c>
      <c r="E80" s="1">
        <v>575</v>
      </c>
    </row>
    <row r="81" spans="1:5" x14ac:dyDescent="0.25">
      <c r="A81" s="1">
        <v>1</v>
      </c>
      <c r="B81" s="1" t="s">
        <v>18</v>
      </c>
      <c r="C81" s="1" t="s">
        <v>15</v>
      </c>
      <c r="D81" s="1">
        <v>12255</v>
      </c>
      <c r="E81" s="1">
        <v>5024</v>
      </c>
    </row>
    <row r="82" spans="1:5" x14ac:dyDescent="0.25">
      <c r="A82" s="1">
        <v>2</v>
      </c>
      <c r="B82" s="1" t="s">
        <v>5</v>
      </c>
      <c r="C82" s="1" t="s">
        <v>6</v>
      </c>
      <c r="D82" s="1">
        <v>487568</v>
      </c>
      <c r="E82" s="1">
        <v>53331</v>
      </c>
    </row>
    <row r="83" spans="1:5" x14ac:dyDescent="0.25">
      <c r="A83" s="1">
        <v>2</v>
      </c>
      <c r="B83" s="1" t="s">
        <v>5</v>
      </c>
      <c r="C83" s="1" t="s">
        <v>7</v>
      </c>
      <c r="D83" s="1">
        <v>36442</v>
      </c>
      <c r="E83" s="1">
        <v>6314</v>
      </c>
    </row>
    <row r="84" spans="1:5" x14ac:dyDescent="0.25">
      <c r="A84" s="1">
        <v>2</v>
      </c>
      <c r="B84" s="1" t="s">
        <v>5</v>
      </c>
      <c r="C84" s="1" t="s">
        <v>8</v>
      </c>
      <c r="D84" s="1">
        <v>203909</v>
      </c>
      <c r="E84" s="1">
        <v>149761</v>
      </c>
    </row>
    <row r="85" spans="1:5" x14ac:dyDescent="0.25">
      <c r="A85" s="1">
        <v>2</v>
      </c>
      <c r="B85" s="1" t="s">
        <v>5</v>
      </c>
      <c r="C85" s="1" t="s">
        <v>9</v>
      </c>
      <c r="D85" s="1">
        <v>242499</v>
      </c>
      <c r="E85" s="1">
        <v>79495</v>
      </c>
    </row>
    <row r="86" spans="1:5" x14ac:dyDescent="0.25">
      <c r="A86" s="1">
        <v>2</v>
      </c>
      <c r="B86" s="1" t="s">
        <v>5</v>
      </c>
      <c r="C86" s="1" t="s">
        <v>10</v>
      </c>
      <c r="D86" s="1">
        <v>70882</v>
      </c>
      <c r="E86" s="1">
        <v>57764</v>
      </c>
    </row>
    <row r="87" spans="1:5" x14ac:dyDescent="0.25">
      <c r="A87" s="1">
        <v>2</v>
      </c>
      <c r="B87" s="1" t="s">
        <v>5</v>
      </c>
      <c r="C87" s="1" t="s">
        <v>11</v>
      </c>
      <c r="D87" s="1">
        <v>36555</v>
      </c>
      <c r="E87" s="1">
        <v>5262</v>
      </c>
    </row>
    <row r="88" spans="1:5" x14ac:dyDescent="0.25">
      <c r="A88" s="1">
        <v>2</v>
      </c>
      <c r="B88" s="1" t="s">
        <v>5</v>
      </c>
      <c r="C88" s="1" t="s">
        <v>12</v>
      </c>
      <c r="D88" s="1">
        <v>23248</v>
      </c>
      <c r="E88" s="1">
        <v>4038</v>
      </c>
    </row>
    <row r="89" spans="1:5" x14ac:dyDescent="0.25">
      <c r="A89" s="1">
        <v>2</v>
      </c>
      <c r="B89" s="1" t="s">
        <v>5</v>
      </c>
      <c r="C89" s="1" t="s">
        <v>13</v>
      </c>
      <c r="D89" s="1">
        <v>242405</v>
      </c>
      <c r="E89" s="1">
        <v>103720</v>
      </c>
    </row>
    <row r="90" spans="1:5" x14ac:dyDescent="0.25">
      <c r="A90" s="1">
        <v>2</v>
      </c>
      <c r="B90" s="1" t="s">
        <v>5</v>
      </c>
      <c r="C90" s="1" t="s">
        <v>14</v>
      </c>
      <c r="D90" s="1">
        <v>70455</v>
      </c>
      <c r="E90" s="1">
        <v>3490</v>
      </c>
    </row>
    <row r="91" spans="1:5" x14ac:dyDescent="0.25">
      <c r="A91" s="1">
        <v>2</v>
      </c>
      <c r="B91" s="1" t="s">
        <v>5</v>
      </c>
      <c r="C91" s="1" t="s">
        <v>15</v>
      </c>
      <c r="D91" s="1">
        <v>49320</v>
      </c>
      <c r="E91" s="1">
        <v>26437</v>
      </c>
    </row>
    <row r="92" spans="1:5" x14ac:dyDescent="0.25">
      <c r="A92" s="1">
        <v>2</v>
      </c>
      <c r="B92" s="1" t="s">
        <v>16</v>
      </c>
      <c r="C92" s="1" t="s">
        <v>6</v>
      </c>
      <c r="D92" s="1">
        <v>81200</v>
      </c>
      <c r="E92" s="1">
        <v>26857</v>
      </c>
    </row>
    <row r="93" spans="1:5" x14ac:dyDescent="0.25">
      <c r="A93" s="1">
        <v>2</v>
      </c>
      <c r="B93" s="1" t="s">
        <v>16</v>
      </c>
      <c r="C93" s="1" t="s">
        <v>7</v>
      </c>
      <c r="D93" s="1">
        <v>5984</v>
      </c>
      <c r="E93" s="1">
        <v>2713</v>
      </c>
    </row>
    <row r="94" spans="1:5" x14ac:dyDescent="0.25">
      <c r="A94" s="1">
        <v>2</v>
      </c>
      <c r="B94" s="1" t="s">
        <v>16</v>
      </c>
      <c r="C94" s="1" t="s">
        <v>8</v>
      </c>
      <c r="D94" s="1">
        <v>33680</v>
      </c>
      <c r="E94" s="1">
        <v>30844</v>
      </c>
    </row>
    <row r="95" spans="1:5" x14ac:dyDescent="0.25">
      <c r="A95" s="1">
        <v>2</v>
      </c>
      <c r="B95" s="1" t="s">
        <v>16</v>
      </c>
      <c r="C95" s="1" t="s">
        <v>9</v>
      </c>
      <c r="D95" s="1">
        <v>40526</v>
      </c>
      <c r="E95" s="1">
        <v>26935</v>
      </c>
    </row>
    <row r="96" spans="1:5" x14ac:dyDescent="0.25">
      <c r="A96" s="1">
        <v>2</v>
      </c>
      <c r="B96" s="1" t="s">
        <v>16</v>
      </c>
      <c r="C96" s="1" t="s">
        <v>10</v>
      </c>
      <c r="D96" s="1">
        <v>11678</v>
      </c>
      <c r="E96" s="1">
        <v>11023</v>
      </c>
    </row>
    <row r="97" spans="1:5" x14ac:dyDescent="0.25">
      <c r="A97" s="1">
        <v>2</v>
      </c>
      <c r="B97" s="1" t="s">
        <v>16</v>
      </c>
      <c r="C97" s="1" t="s">
        <v>11</v>
      </c>
      <c r="D97" s="1">
        <v>6246</v>
      </c>
      <c r="E97" s="1">
        <v>2528</v>
      </c>
    </row>
    <row r="98" spans="1:5" x14ac:dyDescent="0.25">
      <c r="A98" s="1">
        <v>2</v>
      </c>
      <c r="B98" s="1" t="s">
        <v>16</v>
      </c>
      <c r="C98" s="1" t="s">
        <v>12</v>
      </c>
      <c r="D98" s="1">
        <v>3801</v>
      </c>
      <c r="E98" s="1">
        <v>1672</v>
      </c>
    </row>
    <row r="99" spans="1:5" x14ac:dyDescent="0.25">
      <c r="A99" s="1">
        <v>2</v>
      </c>
      <c r="B99" s="1" t="s">
        <v>16</v>
      </c>
      <c r="C99" s="1" t="s">
        <v>13</v>
      </c>
      <c r="D99" s="1">
        <v>40604</v>
      </c>
      <c r="E99" s="1">
        <v>30305</v>
      </c>
    </row>
    <row r="100" spans="1:5" x14ac:dyDescent="0.25">
      <c r="A100" s="1">
        <v>2</v>
      </c>
      <c r="B100" s="1" t="s">
        <v>16</v>
      </c>
      <c r="C100" s="1" t="s">
        <v>14</v>
      </c>
      <c r="D100" s="1">
        <v>11834</v>
      </c>
      <c r="E100" s="1">
        <v>1955</v>
      </c>
    </row>
    <row r="101" spans="1:5" x14ac:dyDescent="0.25">
      <c r="A101" s="1">
        <v>2</v>
      </c>
      <c r="B101" s="1" t="s">
        <v>16</v>
      </c>
      <c r="C101" s="1" t="s">
        <v>15</v>
      </c>
      <c r="D101" s="1">
        <v>8263</v>
      </c>
      <c r="E101" s="1">
        <v>6820</v>
      </c>
    </row>
    <row r="102" spans="1:5" x14ac:dyDescent="0.25">
      <c r="A102" s="1">
        <v>2</v>
      </c>
      <c r="B102" s="1" t="s">
        <v>17</v>
      </c>
      <c r="C102" s="1" t="s">
        <v>6</v>
      </c>
      <c r="D102" s="1">
        <v>163194</v>
      </c>
      <c r="E102" s="1">
        <v>32059</v>
      </c>
    </row>
    <row r="103" spans="1:5" x14ac:dyDescent="0.25">
      <c r="A103" s="1">
        <v>2</v>
      </c>
      <c r="B103" s="1" t="s">
        <v>17</v>
      </c>
      <c r="C103" s="1" t="s">
        <v>7</v>
      </c>
      <c r="D103" s="1">
        <v>12244</v>
      </c>
      <c r="E103" s="1">
        <v>3668</v>
      </c>
    </row>
    <row r="104" spans="1:5" x14ac:dyDescent="0.25">
      <c r="A104" s="1">
        <v>2</v>
      </c>
      <c r="B104" s="1" t="s">
        <v>17</v>
      </c>
      <c r="C104" s="1" t="s">
        <v>8</v>
      </c>
      <c r="D104" s="1">
        <v>67918</v>
      </c>
      <c r="E104" s="1">
        <v>57548</v>
      </c>
    </row>
    <row r="105" spans="1:5" x14ac:dyDescent="0.25">
      <c r="A105" s="1">
        <v>2</v>
      </c>
      <c r="B105" s="1" t="s">
        <v>17</v>
      </c>
      <c r="C105" s="1" t="s">
        <v>9</v>
      </c>
      <c r="D105" s="1">
        <v>80737</v>
      </c>
      <c r="E105" s="1">
        <v>39974</v>
      </c>
    </row>
    <row r="106" spans="1:5" x14ac:dyDescent="0.25">
      <c r="A106" s="1">
        <v>2</v>
      </c>
      <c r="B106" s="1" t="s">
        <v>17</v>
      </c>
      <c r="C106" s="1" t="s">
        <v>10</v>
      </c>
      <c r="D106" s="1">
        <v>23816</v>
      </c>
      <c r="E106" s="1">
        <v>21337</v>
      </c>
    </row>
    <row r="107" spans="1:5" x14ac:dyDescent="0.25">
      <c r="A107" s="1">
        <v>2</v>
      </c>
      <c r="B107" s="1" t="s">
        <v>17</v>
      </c>
      <c r="C107" s="1" t="s">
        <v>11</v>
      </c>
      <c r="D107" s="1">
        <v>12350</v>
      </c>
      <c r="E107" s="1">
        <v>3086</v>
      </c>
    </row>
    <row r="108" spans="1:5" x14ac:dyDescent="0.25">
      <c r="A108" s="1">
        <v>2</v>
      </c>
      <c r="B108" s="1" t="s">
        <v>17</v>
      </c>
      <c r="C108" s="1" t="s">
        <v>12</v>
      </c>
      <c r="D108" s="1">
        <v>7711</v>
      </c>
      <c r="E108" s="1">
        <v>2296</v>
      </c>
    </row>
    <row r="109" spans="1:5" x14ac:dyDescent="0.25">
      <c r="A109" s="1">
        <v>2</v>
      </c>
      <c r="B109" s="1" t="s">
        <v>17</v>
      </c>
      <c r="C109" s="1" t="s">
        <v>13</v>
      </c>
      <c r="D109" s="1">
        <v>80908</v>
      </c>
      <c r="E109" s="1">
        <v>48005</v>
      </c>
    </row>
    <row r="110" spans="1:5" x14ac:dyDescent="0.25">
      <c r="A110" s="1">
        <v>2</v>
      </c>
      <c r="B110" s="1" t="s">
        <v>17</v>
      </c>
      <c r="C110" s="1" t="s">
        <v>14</v>
      </c>
      <c r="D110" s="1">
        <v>23608</v>
      </c>
      <c r="E110" s="1">
        <v>2263</v>
      </c>
    </row>
    <row r="111" spans="1:5" x14ac:dyDescent="0.25">
      <c r="A111" s="1">
        <v>2</v>
      </c>
      <c r="B111" s="1" t="s">
        <v>17</v>
      </c>
      <c r="C111" s="1" t="s">
        <v>15</v>
      </c>
      <c r="D111" s="1">
        <v>16852</v>
      </c>
      <c r="E111" s="1">
        <v>11753</v>
      </c>
    </row>
    <row r="112" spans="1:5" x14ac:dyDescent="0.25">
      <c r="A112" s="1">
        <v>2</v>
      </c>
      <c r="B112" s="1" t="s">
        <v>18</v>
      </c>
      <c r="C112" s="1" t="s">
        <v>6</v>
      </c>
      <c r="D112" s="1">
        <v>161883</v>
      </c>
      <c r="E112" s="1">
        <v>11031</v>
      </c>
    </row>
    <row r="113" spans="1:5" x14ac:dyDescent="0.25">
      <c r="A113" s="1">
        <v>2</v>
      </c>
      <c r="B113" s="1" t="s">
        <v>18</v>
      </c>
      <c r="C113" s="1" t="s">
        <v>7</v>
      </c>
      <c r="D113" s="1">
        <v>12412</v>
      </c>
      <c r="E113" s="1">
        <v>1420</v>
      </c>
    </row>
    <row r="114" spans="1:5" x14ac:dyDescent="0.25">
      <c r="A114" s="1">
        <v>2</v>
      </c>
      <c r="B114" s="1" t="s">
        <v>18</v>
      </c>
      <c r="C114" s="1" t="s">
        <v>8</v>
      </c>
      <c r="D114" s="1">
        <v>68021</v>
      </c>
      <c r="E114" s="1">
        <v>42675</v>
      </c>
    </row>
    <row r="115" spans="1:5" x14ac:dyDescent="0.25">
      <c r="A115" s="1">
        <v>2</v>
      </c>
      <c r="B115" s="1" t="s">
        <v>18</v>
      </c>
      <c r="C115" s="1" t="s">
        <v>9</v>
      </c>
      <c r="D115" s="1">
        <v>80478</v>
      </c>
      <c r="E115" s="1">
        <v>18418</v>
      </c>
    </row>
    <row r="116" spans="1:5" x14ac:dyDescent="0.25">
      <c r="A116" s="1">
        <v>2</v>
      </c>
      <c r="B116" s="1" t="s">
        <v>18</v>
      </c>
      <c r="C116" s="1" t="s">
        <v>10</v>
      </c>
      <c r="D116" s="1">
        <v>23529</v>
      </c>
      <c r="E116" s="1">
        <v>17073</v>
      </c>
    </row>
    <row r="117" spans="1:5" x14ac:dyDescent="0.25">
      <c r="A117" s="1">
        <v>2</v>
      </c>
      <c r="B117" s="1" t="s">
        <v>18</v>
      </c>
      <c r="C117" s="1" t="s">
        <v>11</v>
      </c>
      <c r="D117" s="1">
        <v>12112</v>
      </c>
      <c r="E117" s="1">
        <v>1089</v>
      </c>
    </row>
    <row r="118" spans="1:5" x14ac:dyDescent="0.25">
      <c r="A118" s="1">
        <v>2</v>
      </c>
      <c r="B118" s="1" t="s">
        <v>18</v>
      </c>
      <c r="C118" s="1" t="s">
        <v>12</v>
      </c>
      <c r="D118" s="1">
        <v>7696</v>
      </c>
      <c r="E118" s="1">
        <v>838</v>
      </c>
    </row>
    <row r="119" spans="1:5" x14ac:dyDescent="0.25">
      <c r="A119" s="1">
        <v>2</v>
      </c>
      <c r="B119" s="1" t="s">
        <v>18</v>
      </c>
      <c r="C119" s="1" t="s">
        <v>13</v>
      </c>
      <c r="D119" s="1">
        <v>81039</v>
      </c>
      <c r="E119" s="1">
        <v>24943</v>
      </c>
    </row>
    <row r="120" spans="1:5" x14ac:dyDescent="0.25">
      <c r="A120" s="1">
        <v>2</v>
      </c>
      <c r="B120" s="1" t="s">
        <v>18</v>
      </c>
      <c r="C120" s="1" t="s">
        <v>14</v>
      </c>
      <c r="D120" s="1">
        <v>23543</v>
      </c>
      <c r="E120" s="1">
        <v>767</v>
      </c>
    </row>
    <row r="121" spans="1:5" x14ac:dyDescent="0.25">
      <c r="A121" s="1">
        <v>2</v>
      </c>
      <c r="B121" s="1" t="s">
        <v>18</v>
      </c>
      <c r="C121" s="1" t="s">
        <v>15</v>
      </c>
      <c r="D121" s="1">
        <v>16482</v>
      </c>
      <c r="E121" s="1">
        <v>6652</v>
      </c>
    </row>
    <row r="122" spans="1:5" x14ac:dyDescent="0.25">
      <c r="A122" s="1">
        <v>3</v>
      </c>
      <c r="B122" s="1" t="s">
        <v>5</v>
      </c>
      <c r="C122" s="1" t="s">
        <v>6</v>
      </c>
      <c r="D122" s="1">
        <v>612804</v>
      </c>
      <c r="E122" s="1">
        <v>66600</v>
      </c>
    </row>
    <row r="123" spans="1:5" x14ac:dyDescent="0.25">
      <c r="A123" s="1">
        <v>3</v>
      </c>
      <c r="B123" s="1" t="s">
        <v>5</v>
      </c>
      <c r="C123" s="1" t="s">
        <v>7</v>
      </c>
      <c r="D123" s="1">
        <v>46096</v>
      </c>
      <c r="E123" s="1">
        <v>7713</v>
      </c>
    </row>
    <row r="124" spans="1:5" x14ac:dyDescent="0.25">
      <c r="A124" s="1">
        <v>3</v>
      </c>
      <c r="B124" s="1" t="s">
        <v>5</v>
      </c>
      <c r="C124" s="1" t="s">
        <v>8</v>
      </c>
      <c r="D124" s="1">
        <v>253369</v>
      </c>
      <c r="E124" s="1">
        <v>186124</v>
      </c>
    </row>
    <row r="125" spans="1:5" x14ac:dyDescent="0.25">
      <c r="A125" s="1">
        <v>3</v>
      </c>
      <c r="B125" s="1" t="s">
        <v>5</v>
      </c>
      <c r="C125" s="1" t="s">
        <v>9</v>
      </c>
      <c r="D125" s="1">
        <v>303756</v>
      </c>
      <c r="E125" s="1">
        <v>99150</v>
      </c>
    </row>
    <row r="126" spans="1:5" x14ac:dyDescent="0.25">
      <c r="A126" s="1">
        <v>3</v>
      </c>
      <c r="B126" s="1" t="s">
        <v>5</v>
      </c>
      <c r="C126" s="1" t="s">
        <v>10</v>
      </c>
      <c r="D126" s="1">
        <v>87699</v>
      </c>
      <c r="E126" s="1">
        <v>71250</v>
      </c>
    </row>
    <row r="127" spans="1:5" x14ac:dyDescent="0.25">
      <c r="A127" s="1">
        <v>3</v>
      </c>
      <c r="B127" s="1" t="s">
        <v>5</v>
      </c>
      <c r="C127" s="1" t="s">
        <v>11</v>
      </c>
      <c r="D127" s="1">
        <v>46198</v>
      </c>
      <c r="E127" s="1">
        <v>6565</v>
      </c>
    </row>
    <row r="128" spans="1:5" x14ac:dyDescent="0.25">
      <c r="A128" s="1">
        <v>3</v>
      </c>
      <c r="B128" s="1" t="s">
        <v>5</v>
      </c>
      <c r="C128" s="1" t="s">
        <v>12</v>
      </c>
      <c r="D128" s="1">
        <v>28886</v>
      </c>
      <c r="E128" s="1">
        <v>4931</v>
      </c>
    </row>
    <row r="129" spans="1:5" x14ac:dyDescent="0.25">
      <c r="A129" s="1">
        <v>3</v>
      </c>
      <c r="B129" s="1" t="s">
        <v>5</v>
      </c>
      <c r="C129" s="1" t="s">
        <v>13</v>
      </c>
      <c r="D129" s="1">
        <v>303565</v>
      </c>
      <c r="E129" s="1">
        <v>128843</v>
      </c>
    </row>
    <row r="130" spans="1:5" x14ac:dyDescent="0.25">
      <c r="A130" s="1">
        <v>3</v>
      </c>
      <c r="B130" s="1" t="s">
        <v>5</v>
      </c>
      <c r="C130" s="1" t="s">
        <v>14</v>
      </c>
      <c r="D130" s="1">
        <v>87339</v>
      </c>
      <c r="E130" s="1">
        <v>4218</v>
      </c>
    </row>
    <row r="131" spans="1:5" x14ac:dyDescent="0.25">
      <c r="A131" s="1">
        <v>3</v>
      </c>
      <c r="B131" s="1" t="s">
        <v>5</v>
      </c>
      <c r="C131" s="1" t="s">
        <v>15</v>
      </c>
      <c r="D131" s="1">
        <v>62381</v>
      </c>
      <c r="E131" s="1">
        <v>33280</v>
      </c>
    </row>
    <row r="132" spans="1:5" x14ac:dyDescent="0.25">
      <c r="A132" s="1">
        <v>3</v>
      </c>
      <c r="B132" s="1" t="s">
        <v>16</v>
      </c>
      <c r="C132" s="1" t="s">
        <v>6</v>
      </c>
      <c r="D132" s="1">
        <v>102159</v>
      </c>
      <c r="E132" s="1">
        <v>33339</v>
      </c>
    </row>
    <row r="133" spans="1:5" x14ac:dyDescent="0.25">
      <c r="A133" s="1">
        <v>3</v>
      </c>
      <c r="B133" s="1" t="s">
        <v>16</v>
      </c>
      <c r="C133" s="1" t="s">
        <v>7</v>
      </c>
      <c r="D133" s="1">
        <v>7650</v>
      </c>
      <c r="E133" s="1">
        <v>3418</v>
      </c>
    </row>
    <row r="134" spans="1:5" x14ac:dyDescent="0.25">
      <c r="A134" s="1">
        <v>3</v>
      </c>
      <c r="B134" s="1" t="s">
        <v>16</v>
      </c>
      <c r="C134" s="1" t="s">
        <v>8</v>
      </c>
      <c r="D134" s="1">
        <v>42175</v>
      </c>
      <c r="E134" s="1">
        <v>38622</v>
      </c>
    </row>
    <row r="135" spans="1:5" x14ac:dyDescent="0.25">
      <c r="A135" s="1">
        <v>3</v>
      </c>
      <c r="B135" s="1" t="s">
        <v>16</v>
      </c>
      <c r="C135" s="1" t="s">
        <v>9</v>
      </c>
      <c r="D135" s="1">
        <v>50427</v>
      </c>
      <c r="E135" s="1">
        <v>33332</v>
      </c>
    </row>
    <row r="136" spans="1:5" x14ac:dyDescent="0.25">
      <c r="A136" s="1">
        <v>3</v>
      </c>
      <c r="B136" s="1" t="s">
        <v>16</v>
      </c>
      <c r="C136" s="1" t="s">
        <v>10</v>
      </c>
      <c r="D136" s="1">
        <v>14640</v>
      </c>
      <c r="E136" s="1">
        <v>13838</v>
      </c>
    </row>
    <row r="137" spans="1:5" x14ac:dyDescent="0.25">
      <c r="A137" s="1">
        <v>3</v>
      </c>
      <c r="B137" s="1" t="s">
        <v>16</v>
      </c>
      <c r="C137" s="1" t="s">
        <v>11</v>
      </c>
      <c r="D137" s="1">
        <v>7677</v>
      </c>
      <c r="E137" s="1">
        <v>3036</v>
      </c>
    </row>
    <row r="138" spans="1:5" x14ac:dyDescent="0.25">
      <c r="A138" s="1">
        <v>3</v>
      </c>
      <c r="B138" s="1" t="s">
        <v>16</v>
      </c>
      <c r="C138" s="1" t="s">
        <v>12</v>
      </c>
      <c r="D138" s="1">
        <v>4833</v>
      </c>
      <c r="E138" s="1">
        <v>2113</v>
      </c>
    </row>
    <row r="139" spans="1:5" x14ac:dyDescent="0.25">
      <c r="A139" s="1">
        <v>3</v>
      </c>
      <c r="B139" s="1" t="s">
        <v>16</v>
      </c>
      <c r="C139" s="1" t="s">
        <v>13</v>
      </c>
      <c r="D139" s="1">
        <v>50110</v>
      </c>
      <c r="E139" s="1">
        <v>37564</v>
      </c>
    </row>
    <row r="140" spans="1:5" x14ac:dyDescent="0.25">
      <c r="A140" s="1">
        <v>3</v>
      </c>
      <c r="B140" s="1" t="s">
        <v>16</v>
      </c>
      <c r="C140" s="1" t="s">
        <v>14</v>
      </c>
      <c r="D140" s="1">
        <v>14713</v>
      </c>
      <c r="E140" s="1">
        <v>2526</v>
      </c>
    </row>
    <row r="141" spans="1:5" x14ac:dyDescent="0.25">
      <c r="A141" s="1">
        <v>3</v>
      </c>
      <c r="B141" s="1" t="s">
        <v>16</v>
      </c>
      <c r="C141" s="1" t="s">
        <v>15</v>
      </c>
      <c r="D141" s="1">
        <v>10399</v>
      </c>
      <c r="E141" s="1">
        <v>8572</v>
      </c>
    </row>
    <row r="142" spans="1:5" x14ac:dyDescent="0.25">
      <c r="A142" s="1">
        <v>3</v>
      </c>
      <c r="B142" s="1" t="s">
        <v>17</v>
      </c>
      <c r="C142" s="1" t="s">
        <v>6</v>
      </c>
      <c r="D142" s="1">
        <v>204411</v>
      </c>
      <c r="E142" s="1">
        <v>40011</v>
      </c>
    </row>
    <row r="143" spans="1:5" x14ac:dyDescent="0.25">
      <c r="A143" s="1">
        <v>3</v>
      </c>
      <c r="B143" s="1" t="s">
        <v>17</v>
      </c>
      <c r="C143" s="1" t="s">
        <v>7</v>
      </c>
      <c r="D143" s="1">
        <v>15359</v>
      </c>
      <c r="E143" s="1">
        <v>4365</v>
      </c>
    </row>
    <row r="144" spans="1:5" x14ac:dyDescent="0.25">
      <c r="A144" s="1">
        <v>3</v>
      </c>
      <c r="B144" s="1" t="s">
        <v>17</v>
      </c>
      <c r="C144" s="1" t="s">
        <v>8</v>
      </c>
      <c r="D144" s="1">
        <v>84250</v>
      </c>
      <c r="E144" s="1">
        <v>71107</v>
      </c>
    </row>
    <row r="145" spans="1:5" x14ac:dyDescent="0.25">
      <c r="A145" s="1">
        <v>3</v>
      </c>
      <c r="B145" s="1" t="s">
        <v>17</v>
      </c>
      <c r="C145" s="1" t="s">
        <v>9</v>
      </c>
      <c r="D145" s="1">
        <v>100851</v>
      </c>
      <c r="E145" s="1">
        <v>49662</v>
      </c>
    </row>
    <row r="146" spans="1:5" x14ac:dyDescent="0.25">
      <c r="A146" s="1">
        <v>3</v>
      </c>
      <c r="B146" s="1" t="s">
        <v>17</v>
      </c>
      <c r="C146" s="1" t="s">
        <v>10</v>
      </c>
      <c r="D146" s="1">
        <v>29134</v>
      </c>
      <c r="E146" s="1">
        <v>26155</v>
      </c>
    </row>
    <row r="147" spans="1:5" x14ac:dyDescent="0.25">
      <c r="A147" s="1">
        <v>3</v>
      </c>
      <c r="B147" s="1" t="s">
        <v>17</v>
      </c>
      <c r="C147" s="1" t="s">
        <v>11</v>
      </c>
      <c r="D147" s="1">
        <v>15420</v>
      </c>
      <c r="E147" s="1">
        <v>3810</v>
      </c>
    </row>
    <row r="148" spans="1:5" x14ac:dyDescent="0.25">
      <c r="A148" s="1">
        <v>3</v>
      </c>
      <c r="B148" s="1" t="s">
        <v>17</v>
      </c>
      <c r="C148" s="1" t="s">
        <v>12</v>
      </c>
      <c r="D148" s="1">
        <v>9489</v>
      </c>
      <c r="E148" s="1">
        <v>2822</v>
      </c>
    </row>
    <row r="149" spans="1:5" x14ac:dyDescent="0.25">
      <c r="A149" s="1">
        <v>3</v>
      </c>
      <c r="B149" s="1" t="s">
        <v>17</v>
      </c>
      <c r="C149" s="1" t="s">
        <v>13</v>
      </c>
      <c r="D149" s="1">
        <v>101298</v>
      </c>
      <c r="E149" s="1">
        <v>60227</v>
      </c>
    </row>
    <row r="150" spans="1:5" x14ac:dyDescent="0.25">
      <c r="A150" s="1">
        <v>3</v>
      </c>
      <c r="B150" s="1" t="s">
        <v>17</v>
      </c>
      <c r="C150" s="1" t="s">
        <v>14</v>
      </c>
      <c r="D150" s="1">
        <v>29081</v>
      </c>
      <c r="E150" s="1">
        <v>2598</v>
      </c>
    </row>
    <row r="151" spans="1:5" x14ac:dyDescent="0.25">
      <c r="A151" s="1">
        <v>3</v>
      </c>
      <c r="B151" s="1" t="s">
        <v>17</v>
      </c>
      <c r="C151" s="1" t="s">
        <v>15</v>
      </c>
      <c r="D151" s="1">
        <v>20614</v>
      </c>
      <c r="E151" s="1">
        <v>14434</v>
      </c>
    </row>
    <row r="152" spans="1:5" x14ac:dyDescent="0.25">
      <c r="A152" s="1">
        <v>3</v>
      </c>
      <c r="B152" s="1" t="s">
        <v>18</v>
      </c>
      <c r="C152" s="1" t="s">
        <v>6</v>
      </c>
      <c r="D152" s="1">
        <v>204109</v>
      </c>
      <c r="E152" s="1">
        <v>14017</v>
      </c>
    </row>
    <row r="153" spans="1:5" x14ac:dyDescent="0.25">
      <c r="A153" s="1">
        <v>3</v>
      </c>
      <c r="B153" s="1" t="s">
        <v>18</v>
      </c>
      <c r="C153" s="1" t="s">
        <v>7</v>
      </c>
      <c r="D153" s="1">
        <v>15547</v>
      </c>
      <c r="E153" s="1">
        <v>1647</v>
      </c>
    </row>
    <row r="154" spans="1:5" x14ac:dyDescent="0.25">
      <c r="A154" s="1">
        <v>3</v>
      </c>
      <c r="B154" s="1" t="s">
        <v>18</v>
      </c>
      <c r="C154" s="1" t="s">
        <v>8</v>
      </c>
      <c r="D154" s="1">
        <v>84455</v>
      </c>
      <c r="E154" s="1">
        <v>52524</v>
      </c>
    </row>
    <row r="155" spans="1:5" x14ac:dyDescent="0.25">
      <c r="A155" s="1">
        <v>3</v>
      </c>
      <c r="B155" s="1" t="s">
        <v>18</v>
      </c>
      <c r="C155" s="1" t="s">
        <v>9</v>
      </c>
      <c r="D155" s="1">
        <v>101489</v>
      </c>
      <c r="E155" s="1">
        <v>22719</v>
      </c>
    </row>
    <row r="156" spans="1:5" x14ac:dyDescent="0.25">
      <c r="A156" s="1">
        <v>3</v>
      </c>
      <c r="B156" s="1" t="s">
        <v>18</v>
      </c>
      <c r="C156" s="1" t="s">
        <v>10</v>
      </c>
      <c r="D156" s="1">
        <v>29193</v>
      </c>
      <c r="E156" s="1">
        <v>21133</v>
      </c>
    </row>
    <row r="157" spans="1:5" x14ac:dyDescent="0.25">
      <c r="A157" s="1">
        <v>3</v>
      </c>
      <c r="B157" s="1" t="s">
        <v>18</v>
      </c>
      <c r="C157" s="1" t="s">
        <v>11</v>
      </c>
      <c r="D157" s="1">
        <v>15334</v>
      </c>
      <c r="E157" s="1">
        <v>1279</v>
      </c>
    </row>
    <row r="158" spans="1:5" x14ac:dyDescent="0.25">
      <c r="A158" s="1">
        <v>3</v>
      </c>
      <c r="B158" s="1" t="s">
        <v>18</v>
      </c>
      <c r="C158" s="1" t="s">
        <v>12</v>
      </c>
      <c r="D158" s="1">
        <v>9659</v>
      </c>
      <c r="E158" s="1">
        <v>1077</v>
      </c>
    </row>
    <row r="159" spans="1:5" x14ac:dyDescent="0.25">
      <c r="A159" s="1">
        <v>3</v>
      </c>
      <c r="B159" s="1" t="s">
        <v>18</v>
      </c>
      <c r="C159" s="1" t="s">
        <v>13</v>
      </c>
      <c r="D159" s="1">
        <v>101505</v>
      </c>
      <c r="E159" s="1">
        <v>31173</v>
      </c>
    </row>
    <row r="160" spans="1:5" x14ac:dyDescent="0.25">
      <c r="A160" s="1">
        <v>3</v>
      </c>
      <c r="B160" s="1" t="s">
        <v>18</v>
      </c>
      <c r="C160" s="1" t="s">
        <v>14</v>
      </c>
      <c r="D160" s="1">
        <v>29704</v>
      </c>
      <c r="E160" s="1">
        <v>835</v>
      </c>
    </row>
    <row r="161" spans="1:5" x14ac:dyDescent="0.25">
      <c r="A161" s="1">
        <v>3</v>
      </c>
      <c r="B161" s="1" t="s">
        <v>18</v>
      </c>
      <c r="C161" s="1" t="s">
        <v>15</v>
      </c>
      <c r="D161" s="1">
        <v>20573</v>
      </c>
      <c r="E161" s="1">
        <v>8368</v>
      </c>
    </row>
    <row r="162" spans="1:5" x14ac:dyDescent="0.25">
      <c r="A162" s="1">
        <v>4</v>
      </c>
      <c r="B162" s="1" t="s">
        <v>5</v>
      </c>
      <c r="C162" s="1" t="s">
        <v>6</v>
      </c>
      <c r="D162" s="1">
        <v>737017</v>
      </c>
      <c r="E162" s="1">
        <v>80222</v>
      </c>
    </row>
    <row r="163" spans="1:5" x14ac:dyDescent="0.25">
      <c r="A163" s="1">
        <v>4</v>
      </c>
      <c r="B163" s="1" t="s">
        <v>5</v>
      </c>
      <c r="C163" s="1" t="s">
        <v>7</v>
      </c>
      <c r="D163" s="1">
        <v>56177</v>
      </c>
      <c r="E163" s="1">
        <v>9429</v>
      </c>
    </row>
    <row r="164" spans="1:5" x14ac:dyDescent="0.25">
      <c r="A164" s="1">
        <v>4</v>
      </c>
      <c r="B164" s="1" t="s">
        <v>5</v>
      </c>
      <c r="C164" s="1" t="s">
        <v>8</v>
      </c>
      <c r="D164" s="1">
        <v>303816</v>
      </c>
      <c r="E164" s="1">
        <v>223171</v>
      </c>
    </row>
    <row r="165" spans="1:5" x14ac:dyDescent="0.25">
      <c r="A165" s="1">
        <v>4</v>
      </c>
      <c r="B165" s="1" t="s">
        <v>5</v>
      </c>
      <c r="C165" s="1" t="s">
        <v>9</v>
      </c>
      <c r="D165" s="1">
        <v>365642</v>
      </c>
      <c r="E165" s="1">
        <v>118487</v>
      </c>
    </row>
    <row r="166" spans="1:5" x14ac:dyDescent="0.25">
      <c r="A166" s="1">
        <v>4</v>
      </c>
      <c r="B166" s="1" t="s">
        <v>5</v>
      </c>
      <c r="C166" s="1" t="s">
        <v>10</v>
      </c>
      <c r="D166" s="1">
        <v>103893</v>
      </c>
      <c r="E166" s="1">
        <v>84188</v>
      </c>
    </row>
    <row r="167" spans="1:5" x14ac:dyDescent="0.25">
      <c r="A167" s="1">
        <v>4</v>
      </c>
      <c r="B167" s="1" t="s">
        <v>5</v>
      </c>
      <c r="C167" s="1" t="s">
        <v>11</v>
      </c>
      <c r="D167" s="1">
        <v>55418</v>
      </c>
      <c r="E167" s="1">
        <v>7759</v>
      </c>
    </row>
    <row r="168" spans="1:5" x14ac:dyDescent="0.25">
      <c r="A168" s="1">
        <v>4</v>
      </c>
      <c r="B168" s="1" t="s">
        <v>5</v>
      </c>
      <c r="C168" s="1" t="s">
        <v>12</v>
      </c>
      <c r="D168" s="1">
        <v>34214</v>
      </c>
      <c r="E168" s="1">
        <v>5766</v>
      </c>
    </row>
    <row r="169" spans="1:5" x14ac:dyDescent="0.25">
      <c r="A169" s="1">
        <v>4</v>
      </c>
      <c r="B169" s="1" t="s">
        <v>5</v>
      </c>
      <c r="C169" s="1" t="s">
        <v>13</v>
      </c>
      <c r="D169" s="1">
        <v>365298</v>
      </c>
      <c r="E169" s="1">
        <v>155300</v>
      </c>
    </row>
    <row r="170" spans="1:5" x14ac:dyDescent="0.25">
      <c r="A170" s="1">
        <v>4</v>
      </c>
      <c r="B170" s="1" t="s">
        <v>5</v>
      </c>
      <c r="C170" s="1" t="s">
        <v>14</v>
      </c>
      <c r="D170" s="1">
        <v>104783</v>
      </c>
      <c r="E170" s="1">
        <v>4933</v>
      </c>
    </row>
    <row r="171" spans="1:5" x14ac:dyDescent="0.25">
      <c r="A171" s="1">
        <v>4</v>
      </c>
      <c r="B171" s="1" t="s">
        <v>5</v>
      </c>
      <c r="C171" s="1" t="s">
        <v>15</v>
      </c>
      <c r="D171" s="1">
        <v>75326</v>
      </c>
      <c r="E171" s="1">
        <v>40152</v>
      </c>
    </row>
    <row r="172" spans="1:5" x14ac:dyDescent="0.25">
      <c r="A172" s="1">
        <v>4</v>
      </c>
      <c r="B172" s="1" t="s">
        <v>16</v>
      </c>
      <c r="C172" s="1" t="s">
        <v>6</v>
      </c>
      <c r="D172" s="1">
        <v>123117</v>
      </c>
      <c r="E172" s="1">
        <v>40216</v>
      </c>
    </row>
    <row r="173" spans="1:5" x14ac:dyDescent="0.25">
      <c r="A173" s="1">
        <v>4</v>
      </c>
      <c r="B173" s="1" t="s">
        <v>16</v>
      </c>
      <c r="C173" s="1" t="s">
        <v>7</v>
      </c>
      <c r="D173" s="1">
        <v>9340</v>
      </c>
      <c r="E173" s="1">
        <v>4177</v>
      </c>
    </row>
    <row r="174" spans="1:5" x14ac:dyDescent="0.25">
      <c r="A174" s="1">
        <v>4</v>
      </c>
      <c r="B174" s="1" t="s">
        <v>16</v>
      </c>
      <c r="C174" s="1" t="s">
        <v>8</v>
      </c>
      <c r="D174" s="1">
        <v>50657</v>
      </c>
      <c r="E174" s="1">
        <v>46480</v>
      </c>
    </row>
    <row r="175" spans="1:5" x14ac:dyDescent="0.25">
      <c r="A175" s="1">
        <v>4</v>
      </c>
      <c r="B175" s="1" t="s">
        <v>16</v>
      </c>
      <c r="C175" s="1" t="s">
        <v>9</v>
      </c>
      <c r="D175" s="1">
        <v>60553</v>
      </c>
      <c r="E175" s="1">
        <v>39841</v>
      </c>
    </row>
    <row r="176" spans="1:5" x14ac:dyDescent="0.25">
      <c r="A176" s="1">
        <v>4</v>
      </c>
      <c r="B176" s="1" t="s">
        <v>16</v>
      </c>
      <c r="C176" s="1" t="s">
        <v>10</v>
      </c>
      <c r="D176" s="1">
        <v>17354</v>
      </c>
      <c r="E176" s="1">
        <v>16409</v>
      </c>
    </row>
    <row r="177" spans="1:5" x14ac:dyDescent="0.25">
      <c r="A177" s="1">
        <v>4</v>
      </c>
      <c r="B177" s="1" t="s">
        <v>16</v>
      </c>
      <c r="C177" s="1" t="s">
        <v>11</v>
      </c>
      <c r="D177" s="1">
        <v>9381</v>
      </c>
      <c r="E177" s="1">
        <v>3707</v>
      </c>
    </row>
    <row r="178" spans="1:5" x14ac:dyDescent="0.25">
      <c r="A178" s="1">
        <v>4</v>
      </c>
      <c r="B178" s="1" t="s">
        <v>16</v>
      </c>
      <c r="C178" s="1" t="s">
        <v>12</v>
      </c>
      <c r="D178" s="1">
        <v>5611</v>
      </c>
      <c r="E178" s="1">
        <v>2512</v>
      </c>
    </row>
    <row r="179" spans="1:5" x14ac:dyDescent="0.25">
      <c r="A179" s="1">
        <v>4</v>
      </c>
      <c r="B179" s="1" t="s">
        <v>16</v>
      </c>
      <c r="C179" s="1" t="s">
        <v>13</v>
      </c>
      <c r="D179" s="1">
        <v>61031</v>
      </c>
      <c r="E179" s="1">
        <v>45479</v>
      </c>
    </row>
    <row r="180" spans="1:5" x14ac:dyDescent="0.25">
      <c r="A180" s="1">
        <v>4</v>
      </c>
      <c r="B180" s="1" t="s">
        <v>16</v>
      </c>
      <c r="C180" s="1" t="s">
        <v>14</v>
      </c>
      <c r="D180" s="1">
        <v>17507</v>
      </c>
      <c r="E180" s="1">
        <v>2934</v>
      </c>
    </row>
    <row r="181" spans="1:5" x14ac:dyDescent="0.25">
      <c r="A181" s="1">
        <v>4</v>
      </c>
      <c r="B181" s="1" t="s">
        <v>16</v>
      </c>
      <c r="C181" s="1" t="s">
        <v>15</v>
      </c>
      <c r="D181" s="1">
        <v>12538</v>
      </c>
      <c r="E181" s="1">
        <v>10355</v>
      </c>
    </row>
    <row r="182" spans="1:5" x14ac:dyDescent="0.25">
      <c r="A182" s="1">
        <v>4</v>
      </c>
      <c r="B182" s="1" t="s">
        <v>17</v>
      </c>
      <c r="C182" s="1" t="s">
        <v>6</v>
      </c>
      <c r="D182" s="1">
        <v>245604</v>
      </c>
      <c r="E182" s="1">
        <v>47846</v>
      </c>
    </row>
    <row r="183" spans="1:5" x14ac:dyDescent="0.25">
      <c r="A183" s="1">
        <v>4</v>
      </c>
      <c r="B183" s="1" t="s">
        <v>17</v>
      </c>
      <c r="C183" s="1" t="s">
        <v>7</v>
      </c>
      <c r="D183" s="1">
        <v>18506</v>
      </c>
      <c r="E183" s="1">
        <v>5401</v>
      </c>
    </row>
    <row r="184" spans="1:5" x14ac:dyDescent="0.25">
      <c r="A184" s="1">
        <v>4</v>
      </c>
      <c r="B184" s="1" t="s">
        <v>17</v>
      </c>
      <c r="C184" s="1" t="s">
        <v>8</v>
      </c>
      <c r="D184" s="1">
        <v>101325</v>
      </c>
      <c r="E184" s="1">
        <v>85608</v>
      </c>
    </row>
    <row r="185" spans="1:5" x14ac:dyDescent="0.25">
      <c r="A185" s="1">
        <v>4</v>
      </c>
      <c r="B185" s="1" t="s">
        <v>17</v>
      </c>
      <c r="C185" s="1" t="s">
        <v>9</v>
      </c>
      <c r="D185" s="1">
        <v>121849</v>
      </c>
      <c r="E185" s="1">
        <v>59992</v>
      </c>
    </row>
    <row r="186" spans="1:5" x14ac:dyDescent="0.25">
      <c r="A186" s="1">
        <v>4</v>
      </c>
      <c r="B186" s="1" t="s">
        <v>17</v>
      </c>
      <c r="C186" s="1" t="s">
        <v>10</v>
      </c>
      <c r="D186" s="1">
        <v>34154</v>
      </c>
      <c r="E186" s="1">
        <v>30557</v>
      </c>
    </row>
    <row r="187" spans="1:5" x14ac:dyDescent="0.25">
      <c r="A187" s="1">
        <v>4</v>
      </c>
      <c r="B187" s="1" t="s">
        <v>17</v>
      </c>
      <c r="C187" s="1" t="s">
        <v>11</v>
      </c>
      <c r="D187" s="1">
        <v>18628</v>
      </c>
      <c r="E187" s="1">
        <v>4593</v>
      </c>
    </row>
    <row r="188" spans="1:5" x14ac:dyDescent="0.25">
      <c r="A188" s="1">
        <v>4</v>
      </c>
      <c r="B188" s="1" t="s">
        <v>17</v>
      </c>
      <c r="C188" s="1" t="s">
        <v>12</v>
      </c>
      <c r="D188" s="1">
        <v>11145</v>
      </c>
      <c r="E188" s="1">
        <v>3274</v>
      </c>
    </row>
    <row r="189" spans="1:5" x14ac:dyDescent="0.25">
      <c r="A189" s="1">
        <v>4</v>
      </c>
      <c r="B189" s="1" t="s">
        <v>17</v>
      </c>
      <c r="C189" s="1" t="s">
        <v>13</v>
      </c>
      <c r="D189" s="1">
        <v>121982</v>
      </c>
      <c r="E189" s="1">
        <v>72798</v>
      </c>
    </row>
    <row r="190" spans="1:5" x14ac:dyDescent="0.25">
      <c r="A190" s="1">
        <v>4</v>
      </c>
      <c r="B190" s="1" t="s">
        <v>17</v>
      </c>
      <c r="C190" s="1" t="s">
        <v>14</v>
      </c>
      <c r="D190" s="1">
        <v>35047</v>
      </c>
      <c r="E190" s="1">
        <v>3195</v>
      </c>
    </row>
    <row r="191" spans="1:5" x14ac:dyDescent="0.25">
      <c r="A191" s="1">
        <v>4</v>
      </c>
      <c r="B191" s="1" t="s">
        <v>17</v>
      </c>
      <c r="C191" s="1" t="s">
        <v>15</v>
      </c>
      <c r="D191" s="1">
        <v>25247</v>
      </c>
      <c r="E191" s="1">
        <v>17610</v>
      </c>
    </row>
    <row r="192" spans="1:5" x14ac:dyDescent="0.25">
      <c r="A192" s="1">
        <v>4</v>
      </c>
      <c r="B192" s="1" t="s">
        <v>18</v>
      </c>
      <c r="C192" s="1" t="s">
        <v>6</v>
      </c>
      <c r="D192" s="1">
        <v>246799</v>
      </c>
      <c r="E192" s="1">
        <v>16725</v>
      </c>
    </row>
    <row r="193" spans="1:5" x14ac:dyDescent="0.25">
      <c r="A193" s="1">
        <v>4</v>
      </c>
      <c r="B193" s="1" t="s">
        <v>18</v>
      </c>
      <c r="C193" s="1" t="s">
        <v>7</v>
      </c>
      <c r="D193" s="1">
        <v>18864</v>
      </c>
      <c r="E193" s="1">
        <v>2051</v>
      </c>
    </row>
    <row r="194" spans="1:5" x14ac:dyDescent="0.25">
      <c r="A194" s="1">
        <v>4</v>
      </c>
      <c r="B194" s="1" t="s">
        <v>18</v>
      </c>
      <c r="C194" s="1" t="s">
        <v>8</v>
      </c>
      <c r="D194" s="1">
        <v>101389</v>
      </c>
      <c r="E194" s="1">
        <v>63226</v>
      </c>
    </row>
    <row r="195" spans="1:5" x14ac:dyDescent="0.25">
      <c r="A195" s="1">
        <v>4</v>
      </c>
      <c r="B195" s="1" t="s">
        <v>18</v>
      </c>
      <c r="C195" s="1" t="s">
        <v>9</v>
      </c>
      <c r="D195" s="1">
        <v>121333</v>
      </c>
      <c r="E195" s="1">
        <v>27136</v>
      </c>
    </row>
    <row r="196" spans="1:5" x14ac:dyDescent="0.25">
      <c r="A196" s="1">
        <v>4</v>
      </c>
      <c r="B196" s="1" t="s">
        <v>18</v>
      </c>
      <c r="C196" s="1" t="s">
        <v>10</v>
      </c>
      <c r="D196" s="1">
        <v>34677</v>
      </c>
      <c r="E196" s="1">
        <v>25086</v>
      </c>
    </row>
    <row r="197" spans="1:5" x14ac:dyDescent="0.25">
      <c r="A197" s="1">
        <v>4</v>
      </c>
      <c r="B197" s="1" t="s">
        <v>18</v>
      </c>
      <c r="C197" s="1" t="s">
        <v>11</v>
      </c>
      <c r="D197" s="1">
        <v>18458</v>
      </c>
      <c r="E197" s="1">
        <v>1592</v>
      </c>
    </row>
    <row r="198" spans="1:5" x14ac:dyDescent="0.25">
      <c r="A198" s="1">
        <v>4</v>
      </c>
      <c r="B198" s="1" t="s">
        <v>18</v>
      </c>
      <c r="C198" s="1" t="s">
        <v>12</v>
      </c>
      <c r="D198" s="1">
        <v>11226</v>
      </c>
      <c r="E198" s="1">
        <v>1258</v>
      </c>
    </row>
    <row r="199" spans="1:5" x14ac:dyDescent="0.25">
      <c r="A199" s="1">
        <v>4</v>
      </c>
      <c r="B199" s="1" t="s">
        <v>18</v>
      </c>
      <c r="C199" s="1" t="s">
        <v>13</v>
      </c>
      <c r="D199" s="1">
        <v>121606</v>
      </c>
      <c r="E199" s="1">
        <v>37171</v>
      </c>
    </row>
    <row r="200" spans="1:5" x14ac:dyDescent="0.25">
      <c r="A200" s="1">
        <v>4</v>
      </c>
      <c r="B200" s="1" t="s">
        <v>18</v>
      </c>
      <c r="C200" s="1" t="s">
        <v>14</v>
      </c>
      <c r="D200" s="1">
        <v>34396</v>
      </c>
      <c r="E200" s="1">
        <v>1022</v>
      </c>
    </row>
    <row r="201" spans="1:5" x14ac:dyDescent="0.25">
      <c r="A201" s="1">
        <v>4</v>
      </c>
      <c r="B201" s="1" t="s">
        <v>18</v>
      </c>
      <c r="C201" s="1" t="s">
        <v>15</v>
      </c>
      <c r="D201" s="1">
        <v>25245</v>
      </c>
      <c r="E201" s="1">
        <v>10148</v>
      </c>
    </row>
    <row r="202" spans="1:5" x14ac:dyDescent="0.25">
      <c r="A202" s="1">
        <v>5</v>
      </c>
      <c r="B202" s="1" t="s">
        <v>5</v>
      </c>
      <c r="C202" s="1" t="s">
        <v>6</v>
      </c>
      <c r="D202" s="1">
        <v>864879</v>
      </c>
      <c r="E202" s="1">
        <v>92961</v>
      </c>
    </row>
    <row r="203" spans="1:5" x14ac:dyDescent="0.25">
      <c r="A203" s="1">
        <v>5</v>
      </c>
      <c r="B203" s="1" t="s">
        <v>5</v>
      </c>
      <c r="C203" s="1" t="s">
        <v>7</v>
      </c>
      <c r="D203" s="1">
        <v>64982</v>
      </c>
      <c r="E203" s="1">
        <v>10961</v>
      </c>
    </row>
    <row r="204" spans="1:5" x14ac:dyDescent="0.25">
      <c r="A204" s="1">
        <v>5</v>
      </c>
      <c r="B204" s="1" t="s">
        <v>5</v>
      </c>
      <c r="C204" s="1" t="s">
        <v>8</v>
      </c>
      <c r="D204" s="1">
        <v>355155</v>
      </c>
      <c r="E204" s="1">
        <v>259579</v>
      </c>
    </row>
    <row r="205" spans="1:5" x14ac:dyDescent="0.25">
      <c r="A205" s="1">
        <v>5</v>
      </c>
      <c r="B205" s="1" t="s">
        <v>5</v>
      </c>
      <c r="C205" s="1" t="s">
        <v>9</v>
      </c>
      <c r="D205" s="1">
        <v>427473</v>
      </c>
      <c r="E205" s="1">
        <v>137895</v>
      </c>
    </row>
    <row r="206" spans="1:5" x14ac:dyDescent="0.25">
      <c r="A206" s="1">
        <v>5</v>
      </c>
      <c r="B206" s="1" t="s">
        <v>5</v>
      </c>
      <c r="C206" s="1" t="s">
        <v>10</v>
      </c>
      <c r="D206" s="1">
        <v>121272</v>
      </c>
      <c r="E206" s="1">
        <v>98032</v>
      </c>
    </row>
    <row r="207" spans="1:5" x14ac:dyDescent="0.25">
      <c r="A207" s="1">
        <v>5</v>
      </c>
      <c r="B207" s="1" t="s">
        <v>5</v>
      </c>
      <c r="C207" s="1" t="s">
        <v>11</v>
      </c>
      <c r="D207" s="1">
        <v>65697</v>
      </c>
      <c r="E207" s="1">
        <v>9064</v>
      </c>
    </row>
    <row r="208" spans="1:5" x14ac:dyDescent="0.25">
      <c r="A208" s="1">
        <v>5</v>
      </c>
      <c r="B208" s="1" t="s">
        <v>5</v>
      </c>
      <c r="C208" s="1" t="s">
        <v>12</v>
      </c>
      <c r="D208" s="1">
        <v>39758</v>
      </c>
      <c r="E208" s="1">
        <v>6638</v>
      </c>
    </row>
    <row r="209" spans="1:5" x14ac:dyDescent="0.25">
      <c r="A209" s="1">
        <v>5</v>
      </c>
      <c r="B209" s="1" t="s">
        <v>5</v>
      </c>
      <c r="C209" s="1" t="s">
        <v>13</v>
      </c>
      <c r="D209" s="1">
        <v>427235</v>
      </c>
      <c r="E209" s="1">
        <v>180437</v>
      </c>
    </row>
    <row r="210" spans="1:5" x14ac:dyDescent="0.25">
      <c r="A210" s="1">
        <v>5</v>
      </c>
      <c r="B210" s="1" t="s">
        <v>5</v>
      </c>
      <c r="C210" s="1" t="s">
        <v>14</v>
      </c>
      <c r="D210" s="1">
        <v>121387</v>
      </c>
      <c r="E210" s="1">
        <v>5608</v>
      </c>
    </row>
    <row r="211" spans="1:5" x14ac:dyDescent="0.25">
      <c r="A211" s="1">
        <v>5</v>
      </c>
      <c r="B211" s="1" t="s">
        <v>5</v>
      </c>
      <c r="C211" s="1" t="s">
        <v>15</v>
      </c>
      <c r="D211" s="1">
        <v>88979</v>
      </c>
      <c r="E211" s="1">
        <v>47136</v>
      </c>
    </row>
    <row r="212" spans="1:5" x14ac:dyDescent="0.25">
      <c r="A212" s="1">
        <v>5</v>
      </c>
      <c r="B212" s="1" t="s">
        <v>16</v>
      </c>
      <c r="C212" s="1" t="s">
        <v>6</v>
      </c>
      <c r="D212" s="1">
        <v>143562</v>
      </c>
      <c r="E212" s="1">
        <v>46484</v>
      </c>
    </row>
    <row r="213" spans="1:5" x14ac:dyDescent="0.25">
      <c r="A213" s="1">
        <v>5</v>
      </c>
      <c r="B213" s="1" t="s">
        <v>16</v>
      </c>
      <c r="C213" s="1" t="s">
        <v>7</v>
      </c>
      <c r="D213" s="1">
        <v>10768</v>
      </c>
      <c r="E213" s="1">
        <v>4811</v>
      </c>
    </row>
    <row r="214" spans="1:5" x14ac:dyDescent="0.25">
      <c r="A214" s="1">
        <v>5</v>
      </c>
      <c r="B214" s="1" t="s">
        <v>16</v>
      </c>
      <c r="C214" s="1" t="s">
        <v>8</v>
      </c>
      <c r="D214" s="1">
        <v>58839</v>
      </c>
      <c r="E214" s="1">
        <v>53704</v>
      </c>
    </row>
    <row r="215" spans="1:5" x14ac:dyDescent="0.25">
      <c r="A215" s="1">
        <v>5</v>
      </c>
      <c r="B215" s="1" t="s">
        <v>16</v>
      </c>
      <c r="C215" s="1" t="s">
        <v>9</v>
      </c>
      <c r="D215" s="1">
        <v>71289</v>
      </c>
      <c r="E215" s="1">
        <v>46561</v>
      </c>
    </row>
    <row r="216" spans="1:5" x14ac:dyDescent="0.25">
      <c r="A216" s="1">
        <v>5</v>
      </c>
      <c r="B216" s="1" t="s">
        <v>16</v>
      </c>
      <c r="C216" s="1" t="s">
        <v>10</v>
      </c>
      <c r="D216" s="1">
        <v>20123</v>
      </c>
      <c r="E216" s="1">
        <v>19040</v>
      </c>
    </row>
    <row r="217" spans="1:5" x14ac:dyDescent="0.25">
      <c r="A217" s="1">
        <v>5</v>
      </c>
      <c r="B217" s="1" t="s">
        <v>16</v>
      </c>
      <c r="C217" s="1" t="s">
        <v>11</v>
      </c>
      <c r="D217" s="1">
        <v>11024</v>
      </c>
      <c r="E217" s="1">
        <v>4385</v>
      </c>
    </row>
    <row r="218" spans="1:5" x14ac:dyDescent="0.25">
      <c r="A218" s="1">
        <v>5</v>
      </c>
      <c r="B218" s="1" t="s">
        <v>16</v>
      </c>
      <c r="C218" s="1" t="s">
        <v>12</v>
      </c>
      <c r="D218" s="1">
        <v>6536</v>
      </c>
      <c r="E218" s="1">
        <v>2954</v>
      </c>
    </row>
    <row r="219" spans="1:5" x14ac:dyDescent="0.25">
      <c r="A219" s="1">
        <v>5</v>
      </c>
      <c r="B219" s="1" t="s">
        <v>16</v>
      </c>
      <c r="C219" s="1" t="s">
        <v>13</v>
      </c>
      <c r="D219" s="1">
        <v>71603</v>
      </c>
      <c r="E219" s="1">
        <v>53421</v>
      </c>
    </row>
    <row r="220" spans="1:5" x14ac:dyDescent="0.25">
      <c r="A220" s="1">
        <v>5</v>
      </c>
      <c r="B220" s="1" t="s">
        <v>16</v>
      </c>
      <c r="C220" s="1" t="s">
        <v>14</v>
      </c>
      <c r="D220" s="1">
        <v>20346</v>
      </c>
      <c r="E220" s="1">
        <v>3316</v>
      </c>
    </row>
    <row r="221" spans="1:5" x14ac:dyDescent="0.25">
      <c r="A221" s="1">
        <v>5</v>
      </c>
      <c r="B221" s="1" t="s">
        <v>16</v>
      </c>
      <c r="C221" s="1" t="s">
        <v>15</v>
      </c>
      <c r="D221" s="1">
        <v>14779</v>
      </c>
      <c r="E221" s="1">
        <v>12123</v>
      </c>
    </row>
    <row r="222" spans="1:5" x14ac:dyDescent="0.25">
      <c r="A222" s="1">
        <v>5</v>
      </c>
      <c r="B222" s="1" t="s">
        <v>17</v>
      </c>
      <c r="C222" s="1" t="s">
        <v>6</v>
      </c>
      <c r="D222" s="1">
        <v>288215</v>
      </c>
      <c r="E222" s="1">
        <v>55960</v>
      </c>
    </row>
    <row r="223" spans="1:5" x14ac:dyDescent="0.25">
      <c r="A223" s="1">
        <v>5</v>
      </c>
      <c r="B223" s="1" t="s">
        <v>17</v>
      </c>
      <c r="C223" s="1" t="s">
        <v>7</v>
      </c>
      <c r="D223" s="1">
        <v>21925</v>
      </c>
      <c r="E223" s="1">
        <v>6195</v>
      </c>
    </row>
    <row r="224" spans="1:5" x14ac:dyDescent="0.25">
      <c r="A224" s="1">
        <v>5</v>
      </c>
      <c r="B224" s="1" t="s">
        <v>17</v>
      </c>
      <c r="C224" s="1" t="s">
        <v>8</v>
      </c>
      <c r="D224" s="1">
        <v>117588</v>
      </c>
      <c r="E224" s="1">
        <v>99060</v>
      </c>
    </row>
    <row r="225" spans="1:5" x14ac:dyDescent="0.25">
      <c r="A225" s="1">
        <v>5</v>
      </c>
      <c r="B225" s="1" t="s">
        <v>17</v>
      </c>
      <c r="C225" s="1" t="s">
        <v>9</v>
      </c>
      <c r="D225" s="1">
        <v>142325</v>
      </c>
      <c r="E225" s="1">
        <v>69149</v>
      </c>
    </row>
    <row r="226" spans="1:5" x14ac:dyDescent="0.25">
      <c r="A226" s="1">
        <v>5</v>
      </c>
      <c r="B226" s="1" t="s">
        <v>17</v>
      </c>
      <c r="C226" s="1" t="s">
        <v>10</v>
      </c>
      <c r="D226" s="1">
        <v>40191</v>
      </c>
      <c r="E226" s="1">
        <v>35867</v>
      </c>
    </row>
    <row r="227" spans="1:5" x14ac:dyDescent="0.25">
      <c r="A227" s="1">
        <v>5</v>
      </c>
      <c r="B227" s="1" t="s">
        <v>17</v>
      </c>
      <c r="C227" s="1" t="s">
        <v>11</v>
      </c>
      <c r="D227" s="1">
        <v>21839</v>
      </c>
      <c r="E227" s="1">
        <v>5346</v>
      </c>
    </row>
    <row r="228" spans="1:5" x14ac:dyDescent="0.25">
      <c r="A228" s="1">
        <v>5</v>
      </c>
      <c r="B228" s="1" t="s">
        <v>17</v>
      </c>
      <c r="C228" s="1" t="s">
        <v>12</v>
      </c>
      <c r="D228" s="1">
        <v>13241</v>
      </c>
      <c r="E228" s="1">
        <v>3978</v>
      </c>
    </row>
    <row r="229" spans="1:5" x14ac:dyDescent="0.25">
      <c r="A229" s="1">
        <v>5</v>
      </c>
      <c r="B229" s="1" t="s">
        <v>17</v>
      </c>
      <c r="C229" s="1" t="s">
        <v>13</v>
      </c>
      <c r="D229" s="1">
        <v>141950</v>
      </c>
      <c r="E229" s="1">
        <v>84151</v>
      </c>
    </row>
    <row r="230" spans="1:5" x14ac:dyDescent="0.25">
      <c r="A230" s="1">
        <v>5</v>
      </c>
      <c r="B230" s="1" t="s">
        <v>17</v>
      </c>
      <c r="C230" s="1" t="s">
        <v>14</v>
      </c>
      <c r="D230" s="1">
        <v>40047</v>
      </c>
      <c r="E230" s="1">
        <v>3519</v>
      </c>
    </row>
    <row r="231" spans="1:5" x14ac:dyDescent="0.25">
      <c r="A231" s="1">
        <v>5</v>
      </c>
      <c r="B231" s="1" t="s">
        <v>17</v>
      </c>
      <c r="C231" s="1" t="s">
        <v>15</v>
      </c>
      <c r="D231" s="1">
        <v>29910</v>
      </c>
      <c r="E231" s="1">
        <v>20793</v>
      </c>
    </row>
    <row r="232" spans="1:5" x14ac:dyDescent="0.25">
      <c r="A232" s="1">
        <v>5</v>
      </c>
      <c r="B232" s="1" t="s">
        <v>18</v>
      </c>
      <c r="C232" s="1" t="s">
        <v>6</v>
      </c>
      <c r="D232" s="1">
        <v>289217</v>
      </c>
      <c r="E232" s="1">
        <v>19343</v>
      </c>
    </row>
    <row r="233" spans="1:5" x14ac:dyDescent="0.25">
      <c r="A233" s="1">
        <v>5</v>
      </c>
      <c r="B233" s="1" t="s">
        <v>18</v>
      </c>
      <c r="C233" s="1" t="s">
        <v>7</v>
      </c>
      <c r="D233" s="1">
        <v>21999</v>
      </c>
      <c r="E233" s="1">
        <v>2468</v>
      </c>
    </row>
    <row r="234" spans="1:5" x14ac:dyDescent="0.25">
      <c r="A234" s="1">
        <v>5</v>
      </c>
      <c r="B234" s="1" t="s">
        <v>18</v>
      </c>
      <c r="C234" s="1" t="s">
        <v>8</v>
      </c>
      <c r="D234" s="1">
        <v>117939</v>
      </c>
      <c r="E234" s="1">
        <v>72915</v>
      </c>
    </row>
    <row r="235" spans="1:5" x14ac:dyDescent="0.25">
      <c r="A235" s="1">
        <v>5</v>
      </c>
      <c r="B235" s="1" t="s">
        <v>18</v>
      </c>
      <c r="C235" s="1" t="s">
        <v>9</v>
      </c>
      <c r="D235" s="1">
        <v>142649</v>
      </c>
      <c r="E235" s="1">
        <v>31935</v>
      </c>
    </row>
    <row r="236" spans="1:5" x14ac:dyDescent="0.25">
      <c r="A236" s="1">
        <v>5</v>
      </c>
      <c r="B236" s="1" t="s">
        <v>18</v>
      </c>
      <c r="C236" s="1" t="s">
        <v>10</v>
      </c>
      <c r="D236" s="1">
        <v>40381</v>
      </c>
      <c r="E236" s="1">
        <v>28934</v>
      </c>
    </row>
    <row r="237" spans="1:5" x14ac:dyDescent="0.25">
      <c r="A237" s="1">
        <v>5</v>
      </c>
      <c r="B237" s="1" t="s">
        <v>18</v>
      </c>
      <c r="C237" s="1" t="s">
        <v>11</v>
      </c>
      <c r="D237" s="1">
        <v>21883</v>
      </c>
      <c r="E237" s="1">
        <v>1917</v>
      </c>
    </row>
    <row r="238" spans="1:5" x14ac:dyDescent="0.25">
      <c r="A238" s="1">
        <v>5</v>
      </c>
      <c r="B238" s="1" t="s">
        <v>18</v>
      </c>
      <c r="C238" s="1" t="s">
        <v>12</v>
      </c>
      <c r="D238" s="1">
        <v>13256</v>
      </c>
      <c r="E238" s="1">
        <v>1406</v>
      </c>
    </row>
    <row r="239" spans="1:5" x14ac:dyDescent="0.25">
      <c r="A239" s="1">
        <v>5</v>
      </c>
      <c r="B239" s="1" t="s">
        <v>18</v>
      </c>
      <c r="C239" s="1" t="s">
        <v>13</v>
      </c>
      <c r="D239" s="1">
        <v>142905</v>
      </c>
      <c r="E239" s="1">
        <v>43798</v>
      </c>
    </row>
    <row r="240" spans="1:5" x14ac:dyDescent="0.25">
      <c r="A240" s="1">
        <v>5</v>
      </c>
      <c r="B240" s="1" t="s">
        <v>18</v>
      </c>
      <c r="C240" s="1" t="s">
        <v>14</v>
      </c>
      <c r="D240" s="1">
        <v>40006</v>
      </c>
      <c r="E240" s="1">
        <v>1140</v>
      </c>
    </row>
    <row r="241" spans="1:5" x14ac:dyDescent="0.25">
      <c r="A241" s="1">
        <v>5</v>
      </c>
      <c r="B241" s="1" t="s">
        <v>18</v>
      </c>
      <c r="C241" s="1" t="s">
        <v>15</v>
      </c>
      <c r="D241" s="1">
        <v>29546</v>
      </c>
      <c r="E241" s="1">
        <v>12036</v>
      </c>
    </row>
    <row r="242" spans="1:5" x14ac:dyDescent="0.25">
      <c r="A242" s="1">
        <v>6</v>
      </c>
      <c r="B242" s="1" t="s">
        <v>5</v>
      </c>
      <c r="C242" s="1" t="s">
        <v>6</v>
      </c>
      <c r="D242" s="1">
        <v>991696</v>
      </c>
      <c r="E242" s="1">
        <v>106151</v>
      </c>
    </row>
    <row r="243" spans="1:5" x14ac:dyDescent="0.25">
      <c r="A243" s="1">
        <v>6</v>
      </c>
      <c r="B243" s="1" t="s">
        <v>5</v>
      </c>
      <c r="C243" s="1" t="s">
        <v>7</v>
      </c>
      <c r="D243" s="1">
        <v>75728</v>
      </c>
      <c r="E243" s="1">
        <v>12726</v>
      </c>
    </row>
    <row r="244" spans="1:5" x14ac:dyDescent="0.25">
      <c r="A244" s="1">
        <v>6</v>
      </c>
      <c r="B244" s="1" t="s">
        <v>5</v>
      </c>
      <c r="C244" s="1" t="s">
        <v>8</v>
      </c>
      <c r="D244" s="1">
        <v>404988</v>
      </c>
      <c r="E244" s="1">
        <v>294854</v>
      </c>
    </row>
    <row r="245" spans="1:5" x14ac:dyDescent="0.25">
      <c r="A245" s="1">
        <v>6</v>
      </c>
      <c r="B245" s="1" t="s">
        <v>5</v>
      </c>
      <c r="C245" s="1" t="s">
        <v>9</v>
      </c>
      <c r="D245" s="1">
        <v>489494</v>
      </c>
      <c r="E245" s="1">
        <v>157468</v>
      </c>
    </row>
    <row r="246" spans="1:5" x14ac:dyDescent="0.25">
      <c r="A246" s="1">
        <v>6</v>
      </c>
      <c r="B246" s="1" t="s">
        <v>5</v>
      </c>
      <c r="C246" s="1" t="s">
        <v>10</v>
      </c>
      <c r="D246" s="1">
        <v>136891</v>
      </c>
      <c r="E246" s="1">
        <v>110553</v>
      </c>
    </row>
    <row r="247" spans="1:5" x14ac:dyDescent="0.25">
      <c r="A247" s="1">
        <v>6</v>
      </c>
      <c r="B247" s="1" t="s">
        <v>5</v>
      </c>
      <c r="C247" s="1" t="s">
        <v>11</v>
      </c>
      <c r="D247" s="1">
        <v>75164</v>
      </c>
      <c r="E247" s="1">
        <v>10480</v>
      </c>
    </row>
    <row r="248" spans="1:5" x14ac:dyDescent="0.25">
      <c r="A248" s="1">
        <v>6</v>
      </c>
      <c r="B248" s="1" t="s">
        <v>5</v>
      </c>
      <c r="C248" s="1" t="s">
        <v>12</v>
      </c>
      <c r="D248" s="1">
        <v>44787</v>
      </c>
      <c r="E248" s="1">
        <v>7413</v>
      </c>
    </row>
    <row r="249" spans="1:5" x14ac:dyDescent="0.25">
      <c r="A249" s="1">
        <v>6</v>
      </c>
      <c r="B249" s="1" t="s">
        <v>5</v>
      </c>
      <c r="C249" s="1" t="s">
        <v>13</v>
      </c>
      <c r="D249" s="1">
        <v>489397</v>
      </c>
      <c r="E249" s="1">
        <v>206002</v>
      </c>
    </row>
    <row r="250" spans="1:5" x14ac:dyDescent="0.25">
      <c r="A250" s="1">
        <v>6</v>
      </c>
      <c r="B250" s="1" t="s">
        <v>5</v>
      </c>
      <c r="C250" s="1" t="s">
        <v>14</v>
      </c>
      <c r="D250" s="1">
        <v>137183</v>
      </c>
      <c r="E250" s="1">
        <v>6118</v>
      </c>
    </row>
    <row r="251" spans="1:5" x14ac:dyDescent="0.25">
      <c r="A251" s="1">
        <v>6</v>
      </c>
      <c r="B251" s="1" t="s">
        <v>5</v>
      </c>
      <c r="C251" s="1" t="s">
        <v>15</v>
      </c>
      <c r="D251" s="1">
        <v>102772</v>
      </c>
      <c r="E251" s="1">
        <v>54419</v>
      </c>
    </row>
    <row r="252" spans="1:5" x14ac:dyDescent="0.25">
      <c r="A252" s="1">
        <v>6</v>
      </c>
      <c r="B252" s="1" t="s">
        <v>16</v>
      </c>
      <c r="C252" s="1" t="s">
        <v>6</v>
      </c>
      <c r="D252" s="1">
        <v>165999</v>
      </c>
      <c r="E252" s="1">
        <v>53691</v>
      </c>
    </row>
    <row r="253" spans="1:5" x14ac:dyDescent="0.25">
      <c r="A253" s="1">
        <v>6</v>
      </c>
      <c r="B253" s="1" t="s">
        <v>16</v>
      </c>
      <c r="C253" s="1" t="s">
        <v>7</v>
      </c>
      <c r="D253" s="1">
        <v>12460</v>
      </c>
      <c r="E253" s="1">
        <v>5606</v>
      </c>
    </row>
    <row r="254" spans="1:5" x14ac:dyDescent="0.25">
      <c r="A254" s="1">
        <v>6</v>
      </c>
      <c r="B254" s="1" t="s">
        <v>16</v>
      </c>
      <c r="C254" s="1" t="s">
        <v>8</v>
      </c>
      <c r="D254" s="1">
        <v>67241</v>
      </c>
      <c r="E254" s="1">
        <v>61558</v>
      </c>
    </row>
    <row r="255" spans="1:5" x14ac:dyDescent="0.25">
      <c r="A255" s="1">
        <v>6</v>
      </c>
      <c r="B255" s="1" t="s">
        <v>16</v>
      </c>
      <c r="C255" s="1" t="s">
        <v>9</v>
      </c>
      <c r="D255" s="1">
        <v>81173</v>
      </c>
      <c r="E255" s="1">
        <v>52958</v>
      </c>
    </row>
    <row r="256" spans="1:5" x14ac:dyDescent="0.25">
      <c r="A256" s="1">
        <v>6</v>
      </c>
      <c r="B256" s="1" t="s">
        <v>16</v>
      </c>
      <c r="C256" s="1" t="s">
        <v>10</v>
      </c>
      <c r="D256" s="1">
        <v>23015</v>
      </c>
      <c r="E256" s="1">
        <v>21755</v>
      </c>
    </row>
    <row r="257" spans="1:5" x14ac:dyDescent="0.25">
      <c r="A257" s="1">
        <v>6</v>
      </c>
      <c r="B257" s="1" t="s">
        <v>16</v>
      </c>
      <c r="C257" s="1" t="s">
        <v>11</v>
      </c>
      <c r="D257" s="1">
        <v>12532</v>
      </c>
      <c r="E257" s="1">
        <v>4899</v>
      </c>
    </row>
    <row r="258" spans="1:5" x14ac:dyDescent="0.25">
      <c r="A258" s="1">
        <v>6</v>
      </c>
      <c r="B258" s="1" t="s">
        <v>16</v>
      </c>
      <c r="C258" s="1" t="s">
        <v>12</v>
      </c>
      <c r="D258" s="1">
        <v>7272</v>
      </c>
      <c r="E258" s="1">
        <v>3253</v>
      </c>
    </row>
    <row r="259" spans="1:5" x14ac:dyDescent="0.25">
      <c r="A259" s="1">
        <v>6</v>
      </c>
      <c r="B259" s="1" t="s">
        <v>16</v>
      </c>
      <c r="C259" s="1" t="s">
        <v>13</v>
      </c>
      <c r="D259" s="1">
        <v>81061</v>
      </c>
      <c r="E259" s="1">
        <v>60440</v>
      </c>
    </row>
    <row r="260" spans="1:5" x14ac:dyDescent="0.25">
      <c r="A260" s="1">
        <v>6</v>
      </c>
      <c r="B260" s="1" t="s">
        <v>16</v>
      </c>
      <c r="C260" s="1" t="s">
        <v>14</v>
      </c>
      <c r="D260" s="1">
        <v>22832</v>
      </c>
      <c r="E260" s="1">
        <v>3603</v>
      </c>
    </row>
    <row r="261" spans="1:5" x14ac:dyDescent="0.25">
      <c r="A261" s="1">
        <v>6</v>
      </c>
      <c r="B261" s="1" t="s">
        <v>16</v>
      </c>
      <c r="C261" s="1" t="s">
        <v>15</v>
      </c>
      <c r="D261" s="1">
        <v>16953</v>
      </c>
      <c r="E261" s="1">
        <v>13919</v>
      </c>
    </row>
    <row r="262" spans="1:5" x14ac:dyDescent="0.25">
      <c r="A262" s="1">
        <v>6</v>
      </c>
      <c r="B262" s="1" t="s">
        <v>17</v>
      </c>
      <c r="C262" s="1" t="s">
        <v>6</v>
      </c>
      <c r="D262" s="1">
        <v>331186</v>
      </c>
      <c r="E262" s="1">
        <v>63810</v>
      </c>
    </row>
    <row r="263" spans="1:5" x14ac:dyDescent="0.25">
      <c r="A263" s="1">
        <v>6</v>
      </c>
      <c r="B263" s="1" t="s">
        <v>17</v>
      </c>
      <c r="C263" s="1" t="s">
        <v>7</v>
      </c>
      <c r="D263" s="1">
        <v>25206</v>
      </c>
      <c r="E263" s="1">
        <v>7286</v>
      </c>
    </row>
    <row r="264" spans="1:5" x14ac:dyDescent="0.25">
      <c r="A264" s="1">
        <v>6</v>
      </c>
      <c r="B264" s="1" t="s">
        <v>17</v>
      </c>
      <c r="C264" s="1" t="s">
        <v>8</v>
      </c>
      <c r="D264" s="1">
        <v>134971</v>
      </c>
      <c r="E264" s="1">
        <v>113897</v>
      </c>
    </row>
    <row r="265" spans="1:5" x14ac:dyDescent="0.25">
      <c r="A265" s="1">
        <v>6</v>
      </c>
      <c r="B265" s="1" t="s">
        <v>17</v>
      </c>
      <c r="C265" s="1" t="s">
        <v>9</v>
      </c>
      <c r="D265" s="1">
        <v>163935</v>
      </c>
      <c r="E265" s="1">
        <v>79646</v>
      </c>
    </row>
    <row r="266" spans="1:5" x14ac:dyDescent="0.25">
      <c r="A266" s="1">
        <v>6</v>
      </c>
      <c r="B266" s="1" t="s">
        <v>17</v>
      </c>
      <c r="C266" s="1" t="s">
        <v>10</v>
      </c>
      <c r="D266" s="1">
        <v>45774</v>
      </c>
      <c r="E266" s="1">
        <v>40814</v>
      </c>
    </row>
    <row r="267" spans="1:5" x14ac:dyDescent="0.25">
      <c r="A267" s="1">
        <v>6</v>
      </c>
      <c r="B267" s="1" t="s">
        <v>17</v>
      </c>
      <c r="C267" s="1" t="s">
        <v>11</v>
      </c>
      <c r="D267" s="1">
        <v>25064</v>
      </c>
      <c r="E267" s="1">
        <v>5980</v>
      </c>
    </row>
    <row r="268" spans="1:5" x14ac:dyDescent="0.25">
      <c r="A268" s="1">
        <v>6</v>
      </c>
      <c r="B268" s="1" t="s">
        <v>17</v>
      </c>
      <c r="C268" s="1" t="s">
        <v>12</v>
      </c>
      <c r="D268" s="1">
        <v>15035</v>
      </c>
      <c r="E268" s="1">
        <v>4233</v>
      </c>
    </row>
    <row r="269" spans="1:5" x14ac:dyDescent="0.25">
      <c r="A269" s="1">
        <v>6</v>
      </c>
      <c r="B269" s="1" t="s">
        <v>17</v>
      </c>
      <c r="C269" s="1" t="s">
        <v>13</v>
      </c>
      <c r="D269" s="1">
        <v>162495</v>
      </c>
      <c r="E269" s="1">
        <v>96567</v>
      </c>
    </row>
    <row r="270" spans="1:5" x14ac:dyDescent="0.25">
      <c r="A270" s="1">
        <v>6</v>
      </c>
      <c r="B270" s="1" t="s">
        <v>17</v>
      </c>
      <c r="C270" s="1" t="s">
        <v>14</v>
      </c>
      <c r="D270" s="1">
        <v>45541</v>
      </c>
      <c r="E270" s="1">
        <v>3962</v>
      </c>
    </row>
    <row r="271" spans="1:5" x14ac:dyDescent="0.25">
      <c r="A271" s="1">
        <v>6</v>
      </c>
      <c r="B271" s="1" t="s">
        <v>17</v>
      </c>
      <c r="C271" s="1" t="s">
        <v>15</v>
      </c>
      <c r="D271" s="1">
        <v>34373</v>
      </c>
      <c r="E271" s="1">
        <v>23747</v>
      </c>
    </row>
    <row r="272" spans="1:5" x14ac:dyDescent="0.25">
      <c r="A272" s="1">
        <v>6</v>
      </c>
      <c r="B272" s="1" t="s">
        <v>18</v>
      </c>
      <c r="C272" s="1" t="s">
        <v>6</v>
      </c>
      <c r="D272" s="1">
        <v>332196</v>
      </c>
      <c r="E272" s="1">
        <v>22189</v>
      </c>
    </row>
    <row r="273" spans="1:5" x14ac:dyDescent="0.25">
      <c r="A273" s="1">
        <v>6</v>
      </c>
      <c r="B273" s="1" t="s">
        <v>18</v>
      </c>
      <c r="C273" s="1" t="s">
        <v>7</v>
      </c>
      <c r="D273" s="1">
        <v>25069</v>
      </c>
      <c r="E273" s="1">
        <v>2738</v>
      </c>
    </row>
    <row r="274" spans="1:5" x14ac:dyDescent="0.25">
      <c r="A274" s="1">
        <v>6</v>
      </c>
      <c r="B274" s="1" t="s">
        <v>18</v>
      </c>
      <c r="C274" s="1" t="s">
        <v>8</v>
      </c>
      <c r="D274" s="1">
        <v>134915</v>
      </c>
      <c r="E274" s="1">
        <v>83342</v>
      </c>
    </row>
    <row r="275" spans="1:5" x14ac:dyDescent="0.25">
      <c r="A275" s="1">
        <v>6</v>
      </c>
      <c r="B275" s="1" t="s">
        <v>18</v>
      </c>
      <c r="C275" s="1" t="s">
        <v>9</v>
      </c>
      <c r="D275" s="1">
        <v>163801</v>
      </c>
      <c r="E275" s="1">
        <v>35868</v>
      </c>
    </row>
    <row r="276" spans="1:5" x14ac:dyDescent="0.25">
      <c r="A276" s="1">
        <v>6</v>
      </c>
      <c r="B276" s="1" t="s">
        <v>18</v>
      </c>
      <c r="C276" s="1" t="s">
        <v>10</v>
      </c>
      <c r="D276" s="1">
        <v>45693</v>
      </c>
      <c r="E276" s="1">
        <v>32689</v>
      </c>
    </row>
    <row r="277" spans="1:5" x14ac:dyDescent="0.25">
      <c r="A277" s="1">
        <v>6</v>
      </c>
      <c r="B277" s="1" t="s">
        <v>18</v>
      </c>
      <c r="C277" s="1" t="s">
        <v>11</v>
      </c>
      <c r="D277" s="1">
        <v>25126</v>
      </c>
      <c r="E277" s="1">
        <v>2177</v>
      </c>
    </row>
    <row r="278" spans="1:5" x14ac:dyDescent="0.25">
      <c r="A278" s="1">
        <v>6</v>
      </c>
      <c r="B278" s="1" t="s">
        <v>18</v>
      </c>
      <c r="C278" s="1" t="s">
        <v>12</v>
      </c>
      <c r="D278" s="1">
        <v>14829</v>
      </c>
      <c r="E278" s="1">
        <v>1607</v>
      </c>
    </row>
    <row r="279" spans="1:5" x14ac:dyDescent="0.25">
      <c r="A279" s="1">
        <v>6</v>
      </c>
      <c r="B279" s="1" t="s">
        <v>18</v>
      </c>
      <c r="C279" s="1" t="s">
        <v>13</v>
      </c>
      <c r="D279" s="1">
        <v>163114</v>
      </c>
      <c r="E279" s="1">
        <v>49459</v>
      </c>
    </row>
    <row r="280" spans="1:5" x14ac:dyDescent="0.25">
      <c r="A280" s="1">
        <v>6</v>
      </c>
      <c r="B280" s="1" t="s">
        <v>18</v>
      </c>
      <c r="C280" s="1" t="s">
        <v>14</v>
      </c>
      <c r="D280" s="1">
        <v>46002</v>
      </c>
      <c r="E280" s="1">
        <v>1273</v>
      </c>
    </row>
    <row r="281" spans="1:5" x14ac:dyDescent="0.25">
      <c r="A281" s="1">
        <v>6</v>
      </c>
      <c r="B281" s="1" t="s">
        <v>18</v>
      </c>
      <c r="C281" s="1" t="s">
        <v>15</v>
      </c>
      <c r="D281" s="1">
        <v>34300</v>
      </c>
      <c r="E281" s="1">
        <v>13766</v>
      </c>
    </row>
    <row r="282" spans="1:5" x14ac:dyDescent="0.25">
      <c r="A282" s="1">
        <v>7</v>
      </c>
      <c r="B282" s="1" t="s">
        <v>5</v>
      </c>
      <c r="C282" s="1" t="s">
        <v>6</v>
      </c>
      <c r="D282" s="1">
        <v>1123833</v>
      </c>
      <c r="E282" s="1">
        <v>118822</v>
      </c>
    </row>
    <row r="283" spans="1:5" x14ac:dyDescent="0.25">
      <c r="A283" s="1">
        <v>7</v>
      </c>
      <c r="B283" s="1" t="s">
        <v>5</v>
      </c>
      <c r="C283" s="1" t="s">
        <v>7</v>
      </c>
      <c r="D283" s="1">
        <v>85172</v>
      </c>
      <c r="E283" s="1">
        <v>13939</v>
      </c>
    </row>
    <row r="284" spans="1:5" x14ac:dyDescent="0.25">
      <c r="A284" s="1">
        <v>7</v>
      </c>
      <c r="B284" s="1" t="s">
        <v>5</v>
      </c>
      <c r="C284" s="1" t="s">
        <v>8</v>
      </c>
      <c r="D284" s="1">
        <v>909940</v>
      </c>
      <c r="E284" s="1">
        <v>661942</v>
      </c>
    </row>
    <row r="285" spans="1:5" x14ac:dyDescent="0.25">
      <c r="A285" s="1">
        <v>7</v>
      </c>
      <c r="B285" s="1" t="s">
        <v>5</v>
      </c>
      <c r="C285" s="1" t="s">
        <v>9</v>
      </c>
      <c r="D285" s="1">
        <v>553019</v>
      </c>
      <c r="E285" s="1">
        <v>176474</v>
      </c>
    </row>
    <row r="286" spans="1:5" x14ac:dyDescent="0.25">
      <c r="A286" s="1">
        <v>7</v>
      </c>
      <c r="B286" s="1" t="s">
        <v>5</v>
      </c>
      <c r="C286" s="1" t="s">
        <v>10</v>
      </c>
      <c r="D286" s="1">
        <v>152570</v>
      </c>
      <c r="E286" s="1">
        <v>122854</v>
      </c>
    </row>
    <row r="287" spans="1:5" x14ac:dyDescent="0.25">
      <c r="A287" s="1">
        <v>7</v>
      </c>
      <c r="B287" s="1" t="s">
        <v>5</v>
      </c>
      <c r="C287" s="1" t="s">
        <v>11</v>
      </c>
      <c r="D287" s="1">
        <v>85165</v>
      </c>
      <c r="E287" s="1">
        <v>11706</v>
      </c>
    </row>
    <row r="288" spans="1:5" x14ac:dyDescent="0.25">
      <c r="A288" s="1">
        <v>7</v>
      </c>
      <c r="B288" s="1" t="s">
        <v>5</v>
      </c>
      <c r="C288" s="1" t="s">
        <v>12</v>
      </c>
      <c r="D288" s="1">
        <v>49807</v>
      </c>
      <c r="E288" s="1">
        <v>8024</v>
      </c>
    </row>
    <row r="289" spans="1:5" x14ac:dyDescent="0.25">
      <c r="A289" s="1">
        <v>7</v>
      </c>
      <c r="B289" s="1" t="s">
        <v>5</v>
      </c>
      <c r="C289" s="1" t="s">
        <v>13</v>
      </c>
      <c r="D289" s="1">
        <v>552436</v>
      </c>
      <c r="E289" s="1">
        <v>232217</v>
      </c>
    </row>
    <row r="290" spans="1:5" x14ac:dyDescent="0.25">
      <c r="A290" s="1">
        <v>7</v>
      </c>
      <c r="B290" s="1" t="s">
        <v>5</v>
      </c>
      <c r="C290" s="1" t="s">
        <v>14</v>
      </c>
      <c r="D290" s="1">
        <v>153301</v>
      </c>
      <c r="E290" s="1">
        <v>6691</v>
      </c>
    </row>
    <row r="291" spans="1:5" x14ac:dyDescent="0.25">
      <c r="A291" s="1">
        <v>7</v>
      </c>
      <c r="B291" s="1" t="s">
        <v>5</v>
      </c>
      <c r="C291" s="1" t="s">
        <v>15</v>
      </c>
      <c r="D291" s="1">
        <v>117204</v>
      </c>
      <c r="E291" s="1">
        <v>62046</v>
      </c>
    </row>
    <row r="292" spans="1:5" x14ac:dyDescent="0.25">
      <c r="A292" s="1">
        <v>7</v>
      </c>
      <c r="B292" s="1" t="s">
        <v>16</v>
      </c>
      <c r="C292" s="1" t="s">
        <v>6</v>
      </c>
      <c r="D292" s="1">
        <v>187156</v>
      </c>
      <c r="E292" s="1">
        <v>60629</v>
      </c>
    </row>
    <row r="293" spans="1:5" x14ac:dyDescent="0.25">
      <c r="A293" s="1">
        <v>7</v>
      </c>
      <c r="B293" s="1" t="s">
        <v>16</v>
      </c>
      <c r="C293" s="1" t="s">
        <v>7</v>
      </c>
      <c r="D293" s="1">
        <v>14353</v>
      </c>
      <c r="E293" s="1">
        <v>6259</v>
      </c>
    </row>
    <row r="294" spans="1:5" x14ac:dyDescent="0.25">
      <c r="A294" s="1">
        <v>7</v>
      </c>
      <c r="B294" s="1" t="s">
        <v>16</v>
      </c>
      <c r="C294" s="1" t="s">
        <v>8</v>
      </c>
      <c r="D294" s="1">
        <v>151200</v>
      </c>
      <c r="E294" s="1">
        <v>138361</v>
      </c>
    </row>
    <row r="295" spans="1:5" x14ac:dyDescent="0.25">
      <c r="A295" s="1">
        <v>7</v>
      </c>
      <c r="B295" s="1" t="s">
        <v>16</v>
      </c>
      <c r="C295" s="1" t="s">
        <v>9</v>
      </c>
      <c r="D295" s="1">
        <v>92421</v>
      </c>
      <c r="E295" s="1">
        <v>60209</v>
      </c>
    </row>
    <row r="296" spans="1:5" x14ac:dyDescent="0.25">
      <c r="A296" s="1">
        <v>7</v>
      </c>
      <c r="B296" s="1" t="s">
        <v>16</v>
      </c>
      <c r="C296" s="1" t="s">
        <v>10</v>
      </c>
      <c r="D296" s="1">
        <v>25765</v>
      </c>
      <c r="E296" s="1">
        <v>24274</v>
      </c>
    </row>
    <row r="297" spans="1:5" x14ac:dyDescent="0.25">
      <c r="A297" s="1">
        <v>7</v>
      </c>
      <c r="B297" s="1" t="s">
        <v>16</v>
      </c>
      <c r="C297" s="1" t="s">
        <v>11</v>
      </c>
      <c r="D297" s="1">
        <v>14054</v>
      </c>
      <c r="E297" s="1">
        <v>5525</v>
      </c>
    </row>
    <row r="298" spans="1:5" x14ac:dyDescent="0.25">
      <c r="A298" s="1">
        <v>7</v>
      </c>
      <c r="B298" s="1" t="s">
        <v>16</v>
      </c>
      <c r="C298" s="1" t="s">
        <v>12</v>
      </c>
      <c r="D298" s="1">
        <v>8242</v>
      </c>
      <c r="E298" s="1">
        <v>3692</v>
      </c>
    </row>
    <row r="299" spans="1:5" x14ac:dyDescent="0.25">
      <c r="A299" s="1">
        <v>7</v>
      </c>
      <c r="B299" s="1" t="s">
        <v>16</v>
      </c>
      <c r="C299" s="1" t="s">
        <v>13</v>
      </c>
      <c r="D299" s="1">
        <v>92627</v>
      </c>
      <c r="E299" s="1">
        <v>68591</v>
      </c>
    </row>
    <row r="300" spans="1:5" x14ac:dyDescent="0.25">
      <c r="A300" s="1">
        <v>7</v>
      </c>
      <c r="B300" s="1" t="s">
        <v>16</v>
      </c>
      <c r="C300" s="1" t="s">
        <v>14</v>
      </c>
      <c r="D300" s="1">
        <v>25466</v>
      </c>
      <c r="E300" s="1">
        <v>3911</v>
      </c>
    </row>
    <row r="301" spans="1:5" x14ac:dyDescent="0.25">
      <c r="A301" s="1">
        <v>7</v>
      </c>
      <c r="B301" s="1" t="s">
        <v>16</v>
      </c>
      <c r="C301" s="1" t="s">
        <v>15</v>
      </c>
      <c r="D301" s="1">
        <v>19614</v>
      </c>
      <c r="E301" s="1">
        <v>16056</v>
      </c>
    </row>
    <row r="302" spans="1:5" x14ac:dyDescent="0.25">
      <c r="A302" s="1">
        <v>7</v>
      </c>
      <c r="B302" s="1" t="s">
        <v>17</v>
      </c>
      <c r="C302" s="1" t="s">
        <v>6</v>
      </c>
      <c r="D302" s="1">
        <v>374549</v>
      </c>
      <c r="E302" s="1">
        <v>71635</v>
      </c>
    </row>
    <row r="303" spans="1:5" x14ac:dyDescent="0.25">
      <c r="A303" s="1">
        <v>7</v>
      </c>
      <c r="B303" s="1" t="s">
        <v>17</v>
      </c>
      <c r="C303" s="1" t="s">
        <v>7</v>
      </c>
      <c r="D303" s="1">
        <v>28440</v>
      </c>
      <c r="E303" s="1">
        <v>8051</v>
      </c>
    </row>
    <row r="304" spans="1:5" x14ac:dyDescent="0.25">
      <c r="A304" s="1">
        <v>7</v>
      </c>
      <c r="B304" s="1" t="s">
        <v>17</v>
      </c>
      <c r="C304" s="1" t="s">
        <v>8</v>
      </c>
      <c r="D304" s="1">
        <v>303134</v>
      </c>
      <c r="E304" s="1">
        <v>255456</v>
      </c>
    </row>
    <row r="305" spans="1:5" x14ac:dyDescent="0.25">
      <c r="A305" s="1">
        <v>7</v>
      </c>
      <c r="B305" s="1" t="s">
        <v>17</v>
      </c>
      <c r="C305" s="1" t="s">
        <v>9</v>
      </c>
      <c r="D305" s="1">
        <v>184396</v>
      </c>
      <c r="E305" s="1">
        <v>89444</v>
      </c>
    </row>
    <row r="306" spans="1:5" x14ac:dyDescent="0.25">
      <c r="A306" s="1">
        <v>7</v>
      </c>
      <c r="B306" s="1" t="s">
        <v>17</v>
      </c>
      <c r="C306" s="1" t="s">
        <v>10</v>
      </c>
      <c r="D306" s="1">
        <v>51097</v>
      </c>
      <c r="E306" s="1">
        <v>45510</v>
      </c>
    </row>
    <row r="307" spans="1:5" x14ac:dyDescent="0.25">
      <c r="A307" s="1">
        <v>7</v>
      </c>
      <c r="B307" s="1" t="s">
        <v>17</v>
      </c>
      <c r="C307" s="1" t="s">
        <v>11</v>
      </c>
      <c r="D307" s="1">
        <v>28257</v>
      </c>
      <c r="E307" s="1">
        <v>6874</v>
      </c>
    </row>
    <row r="308" spans="1:5" x14ac:dyDescent="0.25">
      <c r="A308" s="1">
        <v>7</v>
      </c>
      <c r="B308" s="1" t="s">
        <v>17</v>
      </c>
      <c r="C308" s="1" t="s">
        <v>12</v>
      </c>
      <c r="D308" s="1">
        <v>16842</v>
      </c>
      <c r="E308" s="1">
        <v>4837</v>
      </c>
    </row>
    <row r="309" spans="1:5" x14ac:dyDescent="0.25">
      <c r="A309" s="1">
        <v>7</v>
      </c>
      <c r="B309" s="1" t="s">
        <v>17</v>
      </c>
      <c r="C309" s="1" t="s">
        <v>13</v>
      </c>
      <c r="D309" s="1">
        <v>184097</v>
      </c>
      <c r="E309" s="1">
        <v>108639</v>
      </c>
    </row>
    <row r="310" spans="1:5" x14ac:dyDescent="0.25">
      <c r="A310" s="1">
        <v>7</v>
      </c>
      <c r="B310" s="1" t="s">
        <v>17</v>
      </c>
      <c r="C310" s="1" t="s">
        <v>14</v>
      </c>
      <c r="D310" s="1">
        <v>50670</v>
      </c>
      <c r="E310" s="1">
        <v>4332</v>
      </c>
    </row>
    <row r="311" spans="1:5" x14ac:dyDescent="0.25">
      <c r="A311" s="1">
        <v>7</v>
      </c>
      <c r="B311" s="1" t="s">
        <v>17</v>
      </c>
      <c r="C311" s="1" t="s">
        <v>15</v>
      </c>
      <c r="D311" s="1">
        <v>38653</v>
      </c>
      <c r="E311" s="1">
        <v>26908</v>
      </c>
    </row>
    <row r="312" spans="1:5" x14ac:dyDescent="0.25">
      <c r="A312" s="1">
        <v>7</v>
      </c>
      <c r="B312" s="1" t="s">
        <v>18</v>
      </c>
      <c r="C312" s="1" t="s">
        <v>6</v>
      </c>
      <c r="D312" s="1">
        <v>374540</v>
      </c>
      <c r="E312" s="1">
        <v>24923</v>
      </c>
    </row>
    <row r="313" spans="1:5" x14ac:dyDescent="0.25">
      <c r="A313" s="1">
        <v>7</v>
      </c>
      <c r="B313" s="1" t="s">
        <v>18</v>
      </c>
      <c r="C313" s="1" t="s">
        <v>7</v>
      </c>
      <c r="D313" s="1">
        <v>28470</v>
      </c>
      <c r="E313" s="1">
        <v>2972</v>
      </c>
    </row>
    <row r="314" spans="1:5" x14ac:dyDescent="0.25">
      <c r="A314" s="1">
        <v>7</v>
      </c>
      <c r="B314" s="1" t="s">
        <v>18</v>
      </c>
      <c r="C314" s="1" t="s">
        <v>8</v>
      </c>
      <c r="D314" s="1">
        <v>302888</v>
      </c>
      <c r="E314" s="1">
        <v>186403</v>
      </c>
    </row>
    <row r="315" spans="1:5" x14ac:dyDescent="0.25">
      <c r="A315" s="1">
        <v>7</v>
      </c>
      <c r="B315" s="1" t="s">
        <v>18</v>
      </c>
      <c r="C315" s="1" t="s">
        <v>9</v>
      </c>
      <c r="D315" s="1">
        <v>184259</v>
      </c>
      <c r="E315" s="1">
        <v>40569</v>
      </c>
    </row>
    <row r="316" spans="1:5" x14ac:dyDescent="0.25">
      <c r="A316" s="1">
        <v>7</v>
      </c>
      <c r="B316" s="1" t="s">
        <v>18</v>
      </c>
      <c r="C316" s="1" t="s">
        <v>10</v>
      </c>
      <c r="D316" s="1">
        <v>51050</v>
      </c>
      <c r="E316" s="1">
        <v>36298</v>
      </c>
    </row>
    <row r="317" spans="1:5" x14ac:dyDescent="0.25">
      <c r="A317" s="1">
        <v>7</v>
      </c>
      <c r="B317" s="1" t="s">
        <v>18</v>
      </c>
      <c r="C317" s="1" t="s">
        <v>11</v>
      </c>
      <c r="D317" s="1">
        <v>28565</v>
      </c>
      <c r="E317" s="1">
        <v>2494</v>
      </c>
    </row>
    <row r="318" spans="1:5" x14ac:dyDescent="0.25">
      <c r="A318" s="1">
        <v>7</v>
      </c>
      <c r="B318" s="1" t="s">
        <v>18</v>
      </c>
      <c r="C318" s="1" t="s">
        <v>12</v>
      </c>
      <c r="D318" s="1">
        <v>16531</v>
      </c>
      <c r="E318" s="1">
        <v>1797</v>
      </c>
    </row>
    <row r="319" spans="1:5" x14ac:dyDescent="0.25">
      <c r="A319" s="1">
        <v>7</v>
      </c>
      <c r="B319" s="1" t="s">
        <v>18</v>
      </c>
      <c r="C319" s="1" t="s">
        <v>13</v>
      </c>
      <c r="D319" s="1">
        <v>184507</v>
      </c>
      <c r="E319" s="1">
        <v>55846</v>
      </c>
    </row>
    <row r="320" spans="1:5" x14ac:dyDescent="0.25">
      <c r="A320" s="1">
        <v>7</v>
      </c>
      <c r="B320" s="1" t="s">
        <v>18</v>
      </c>
      <c r="C320" s="1" t="s">
        <v>14</v>
      </c>
      <c r="D320" s="1">
        <v>51120</v>
      </c>
      <c r="E320" s="1">
        <v>1379</v>
      </c>
    </row>
    <row r="321" spans="1:5" x14ac:dyDescent="0.25">
      <c r="A321" s="1">
        <v>7</v>
      </c>
      <c r="B321" s="1" t="s">
        <v>18</v>
      </c>
      <c r="C321" s="1" t="s">
        <v>15</v>
      </c>
      <c r="D321" s="1">
        <v>38647</v>
      </c>
      <c r="E321" s="1">
        <v>15567</v>
      </c>
    </row>
    <row r="322" spans="1:5" x14ac:dyDescent="0.25">
      <c r="A322" s="1">
        <v>8</v>
      </c>
      <c r="B322" s="1" t="s">
        <v>5</v>
      </c>
      <c r="C322" s="1" t="s">
        <v>6</v>
      </c>
      <c r="D322" s="1">
        <v>1254797</v>
      </c>
      <c r="E322" s="1">
        <v>133167</v>
      </c>
    </row>
    <row r="323" spans="1:5" x14ac:dyDescent="0.25">
      <c r="A323" s="1">
        <v>8</v>
      </c>
      <c r="B323" s="1" t="s">
        <v>5</v>
      </c>
      <c r="C323" s="1" t="s">
        <v>7</v>
      </c>
      <c r="D323" s="1">
        <v>95649</v>
      </c>
      <c r="E323" s="1">
        <v>15564</v>
      </c>
    </row>
    <row r="324" spans="1:5" x14ac:dyDescent="0.25">
      <c r="A324" s="1">
        <v>8</v>
      </c>
      <c r="B324" s="1" t="s">
        <v>5</v>
      </c>
      <c r="C324" s="1" t="s">
        <v>8</v>
      </c>
      <c r="D324" s="1">
        <v>1009878</v>
      </c>
      <c r="E324" s="1">
        <v>732646</v>
      </c>
    </row>
    <row r="325" spans="1:5" x14ac:dyDescent="0.25">
      <c r="A325" s="1">
        <v>8</v>
      </c>
      <c r="B325" s="1" t="s">
        <v>5</v>
      </c>
      <c r="C325" s="1" t="s">
        <v>9</v>
      </c>
      <c r="D325" s="1">
        <v>614923</v>
      </c>
      <c r="E325" s="1">
        <v>195704</v>
      </c>
    </row>
    <row r="326" spans="1:5" x14ac:dyDescent="0.25">
      <c r="A326" s="1">
        <v>8</v>
      </c>
      <c r="B326" s="1" t="s">
        <v>5</v>
      </c>
      <c r="C326" s="1" t="s">
        <v>10</v>
      </c>
      <c r="D326" s="1">
        <v>168666</v>
      </c>
      <c r="E326" s="1">
        <v>135234</v>
      </c>
    </row>
    <row r="327" spans="1:5" x14ac:dyDescent="0.25">
      <c r="A327" s="1">
        <v>8</v>
      </c>
      <c r="B327" s="1" t="s">
        <v>5</v>
      </c>
      <c r="C327" s="1" t="s">
        <v>11</v>
      </c>
      <c r="D327" s="1">
        <v>95577</v>
      </c>
      <c r="E327" s="1">
        <v>13011</v>
      </c>
    </row>
    <row r="328" spans="1:5" x14ac:dyDescent="0.25">
      <c r="A328" s="1">
        <v>8</v>
      </c>
      <c r="B328" s="1" t="s">
        <v>5</v>
      </c>
      <c r="C328" s="1" t="s">
        <v>12</v>
      </c>
      <c r="D328" s="1">
        <v>54943</v>
      </c>
      <c r="E328" s="1">
        <v>9019</v>
      </c>
    </row>
    <row r="329" spans="1:5" x14ac:dyDescent="0.25">
      <c r="A329" s="1">
        <v>8</v>
      </c>
      <c r="B329" s="1" t="s">
        <v>5</v>
      </c>
      <c r="C329" s="1" t="s">
        <v>13</v>
      </c>
      <c r="D329" s="1">
        <v>615678</v>
      </c>
      <c r="E329" s="1">
        <v>258297</v>
      </c>
    </row>
    <row r="330" spans="1:5" x14ac:dyDescent="0.25">
      <c r="A330" s="1">
        <v>8</v>
      </c>
      <c r="B330" s="1" t="s">
        <v>5</v>
      </c>
      <c r="C330" s="1" t="s">
        <v>14</v>
      </c>
      <c r="D330" s="1">
        <v>168892</v>
      </c>
      <c r="E330" s="1">
        <v>7208</v>
      </c>
    </row>
    <row r="331" spans="1:5" x14ac:dyDescent="0.25">
      <c r="A331" s="1">
        <v>8</v>
      </c>
      <c r="B331" s="1" t="s">
        <v>5</v>
      </c>
      <c r="C331" s="1" t="s">
        <v>15</v>
      </c>
      <c r="D331" s="1">
        <v>130487</v>
      </c>
      <c r="E331" s="1">
        <v>68767</v>
      </c>
    </row>
    <row r="332" spans="1:5" x14ac:dyDescent="0.25">
      <c r="A332" s="1">
        <v>8</v>
      </c>
      <c r="B332" s="1" t="s">
        <v>16</v>
      </c>
      <c r="C332" s="1" t="s">
        <v>6</v>
      </c>
      <c r="D332" s="1">
        <v>209205</v>
      </c>
      <c r="E332" s="1">
        <v>67416</v>
      </c>
    </row>
    <row r="333" spans="1:5" x14ac:dyDescent="0.25">
      <c r="A333" s="1">
        <v>8</v>
      </c>
      <c r="B333" s="1" t="s">
        <v>16</v>
      </c>
      <c r="C333" s="1" t="s">
        <v>7</v>
      </c>
      <c r="D333" s="1">
        <v>15798</v>
      </c>
      <c r="E333" s="1">
        <v>6901</v>
      </c>
    </row>
    <row r="334" spans="1:5" x14ac:dyDescent="0.25">
      <c r="A334" s="1">
        <v>8</v>
      </c>
      <c r="B334" s="1" t="s">
        <v>16</v>
      </c>
      <c r="C334" s="1" t="s">
        <v>8</v>
      </c>
      <c r="D334" s="1">
        <v>168405</v>
      </c>
      <c r="E334" s="1">
        <v>153943</v>
      </c>
    </row>
    <row r="335" spans="1:5" x14ac:dyDescent="0.25">
      <c r="A335" s="1">
        <v>8</v>
      </c>
      <c r="B335" s="1" t="s">
        <v>16</v>
      </c>
      <c r="C335" s="1" t="s">
        <v>9</v>
      </c>
      <c r="D335" s="1">
        <v>102991</v>
      </c>
      <c r="E335" s="1">
        <v>66955</v>
      </c>
    </row>
    <row r="336" spans="1:5" x14ac:dyDescent="0.25">
      <c r="A336" s="1">
        <v>8</v>
      </c>
      <c r="B336" s="1" t="s">
        <v>16</v>
      </c>
      <c r="C336" s="1" t="s">
        <v>10</v>
      </c>
      <c r="D336" s="1">
        <v>28077</v>
      </c>
      <c r="E336" s="1">
        <v>26439</v>
      </c>
    </row>
    <row r="337" spans="1:5" x14ac:dyDescent="0.25">
      <c r="A337" s="1">
        <v>8</v>
      </c>
      <c r="B337" s="1" t="s">
        <v>16</v>
      </c>
      <c r="C337" s="1" t="s">
        <v>11</v>
      </c>
      <c r="D337" s="1">
        <v>15870</v>
      </c>
      <c r="E337" s="1">
        <v>6154</v>
      </c>
    </row>
    <row r="338" spans="1:5" x14ac:dyDescent="0.25">
      <c r="A338" s="1">
        <v>8</v>
      </c>
      <c r="B338" s="1" t="s">
        <v>16</v>
      </c>
      <c r="C338" s="1" t="s">
        <v>12</v>
      </c>
      <c r="D338" s="1">
        <v>9124</v>
      </c>
      <c r="E338" s="1">
        <v>3888</v>
      </c>
    </row>
    <row r="339" spans="1:5" x14ac:dyDescent="0.25">
      <c r="A339" s="1">
        <v>8</v>
      </c>
      <c r="B339" s="1" t="s">
        <v>16</v>
      </c>
      <c r="C339" s="1" t="s">
        <v>13</v>
      </c>
      <c r="D339" s="1">
        <v>102908</v>
      </c>
      <c r="E339" s="1">
        <v>76283</v>
      </c>
    </row>
    <row r="340" spans="1:5" x14ac:dyDescent="0.25">
      <c r="A340" s="1">
        <v>8</v>
      </c>
      <c r="B340" s="1" t="s">
        <v>16</v>
      </c>
      <c r="C340" s="1" t="s">
        <v>14</v>
      </c>
      <c r="D340" s="1">
        <v>28243</v>
      </c>
      <c r="E340" s="1">
        <v>4446</v>
      </c>
    </row>
    <row r="341" spans="1:5" x14ac:dyDescent="0.25">
      <c r="A341" s="1">
        <v>8</v>
      </c>
      <c r="B341" s="1" t="s">
        <v>16</v>
      </c>
      <c r="C341" s="1" t="s">
        <v>15</v>
      </c>
      <c r="D341" s="1">
        <v>21896</v>
      </c>
      <c r="E341" s="1">
        <v>18011</v>
      </c>
    </row>
    <row r="342" spans="1:5" x14ac:dyDescent="0.25">
      <c r="A342" s="1">
        <v>8</v>
      </c>
      <c r="B342" s="1" t="s">
        <v>17</v>
      </c>
      <c r="C342" s="1" t="s">
        <v>6</v>
      </c>
      <c r="D342" s="1">
        <v>417002</v>
      </c>
      <c r="E342" s="1">
        <v>79456</v>
      </c>
    </row>
    <row r="343" spans="1:5" x14ac:dyDescent="0.25">
      <c r="A343" s="1">
        <v>8</v>
      </c>
      <c r="B343" s="1" t="s">
        <v>17</v>
      </c>
      <c r="C343" s="1" t="s">
        <v>7</v>
      </c>
      <c r="D343" s="1">
        <v>31866</v>
      </c>
      <c r="E343" s="1">
        <v>9046</v>
      </c>
    </row>
    <row r="344" spans="1:5" x14ac:dyDescent="0.25">
      <c r="A344" s="1">
        <v>8</v>
      </c>
      <c r="B344" s="1" t="s">
        <v>17</v>
      </c>
      <c r="C344" s="1" t="s">
        <v>8</v>
      </c>
      <c r="D344" s="1">
        <v>336307</v>
      </c>
      <c r="E344" s="1">
        <v>282742</v>
      </c>
    </row>
    <row r="345" spans="1:5" x14ac:dyDescent="0.25">
      <c r="A345" s="1">
        <v>8</v>
      </c>
      <c r="B345" s="1" t="s">
        <v>17</v>
      </c>
      <c r="C345" s="1" t="s">
        <v>9</v>
      </c>
      <c r="D345" s="1">
        <v>205041</v>
      </c>
      <c r="E345" s="1">
        <v>98887</v>
      </c>
    </row>
    <row r="346" spans="1:5" x14ac:dyDescent="0.25">
      <c r="A346" s="1">
        <v>8</v>
      </c>
      <c r="B346" s="1" t="s">
        <v>17</v>
      </c>
      <c r="C346" s="1" t="s">
        <v>10</v>
      </c>
      <c r="D346" s="1">
        <v>56670</v>
      </c>
      <c r="E346" s="1">
        <v>50583</v>
      </c>
    </row>
    <row r="347" spans="1:5" x14ac:dyDescent="0.25">
      <c r="A347" s="1">
        <v>8</v>
      </c>
      <c r="B347" s="1" t="s">
        <v>17</v>
      </c>
      <c r="C347" s="1" t="s">
        <v>11</v>
      </c>
      <c r="D347" s="1">
        <v>31976</v>
      </c>
      <c r="E347" s="1">
        <v>7647</v>
      </c>
    </row>
    <row r="348" spans="1:5" x14ac:dyDescent="0.25">
      <c r="A348" s="1">
        <v>8</v>
      </c>
      <c r="B348" s="1" t="s">
        <v>17</v>
      </c>
      <c r="C348" s="1" t="s">
        <v>12</v>
      </c>
      <c r="D348" s="1">
        <v>17994</v>
      </c>
      <c r="E348" s="1">
        <v>5193</v>
      </c>
    </row>
    <row r="349" spans="1:5" x14ac:dyDescent="0.25">
      <c r="A349" s="1">
        <v>8</v>
      </c>
      <c r="B349" s="1" t="s">
        <v>17</v>
      </c>
      <c r="C349" s="1" t="s">
        <v>13</v>
      </c>
      <c r="D349" s="1">
        <v>205708</v>
      </c>
      <c r="E349" s="1">
        <v>121092</v>
      </c>
    </row>
    <row r="350" spans="1:5" x14ac:dyDescent="0.25">
      <c r="A350" s="1">
        <v>8</v>
      </c>
      <c r="B350" s="1" t="s">
        <v>17</v>
      </c>
      <c r="C350" s="1" t="s">
        <v>14</v>
      </c>
      <c r="D350" s="1">
        <v>56400</v>
      </c>
      <c r="E350" s="1">
        <v>4625</v>
      </c>
    </row>
    <row r="351" spans="1:5" x14ac:dyDescent="0.25">
      <c r="A351" s="1">
        <v>8</v>
      </c>
      <c r="B351" s="1" t="s">
        <v>17</v>
      </c>
      <c r="C351" s="1" t="s">
        <v>15</v>
      </c>
      <c r="D351" s="1">
        <v>43358</v>
      </c>
      <c r="E351" s="1">
        <v>30178</v>
      </c>
    </row>
    <row r="352" spans="1:5" x14ac:dyDescent="0.25">
      <c r="A352" s="1">
        <v>8</v>
      </c>
      <c r="B352" s="1" t="s">
        <v>18</v>
      </c>
      <c r="C352" s="1" t="s">
        <v>6</v>
      </c>
      <c r="D352" s="1">
        <v>419892</v>
      </c>
      <c r="E352" s="1">
        <v>27777</v>
      </c>
    </row>
    <row r="353" spans="1:5" x14ac:dyDescent="0.25">
      <c r="A353" s="1">
        <v>8</v>
      </c>
      <c r="B353" s="1" t="s">
        <v>18</v>
      </c>
      <c r="C353" s="1" t="s">
        <v>7</v>
      </c>
      <c r="D353" s="1">
        <v>31758</v>
      </c>
      <c r="E353" s="1">
        <v>3371</v>
      </c>
    </row>
    <row r="354" spans="1:5" x14ac:dyDescent="0.25">
      <c r="A354" s="1">
        <v>8</v>
      </c>
      <c r="B354" s="1" t="s">
        <v>18</v>
      </c>
      <c r="C354" s="1" t="s">
        <v>8</v>
      </c>
      <c r="D354" s="1">
        <v>336775</v>
      </c>
      <c r="E354" s="1">
        <v>206622</v>
      </c>
    </row>
    <row r="355" spans="1:5" x14ac:dyDescent="0.25">
      <c r="A355" s="1">
        <v>8</v>
      </c>
      <c r="B355" s="1" t="s">
        <v>18</v>
      </c>
      <c r="C355" s="1" t="s">
        <v>9</v>
      </c>
      <c r="D355" s="1">
        <v>205336</v>
      </c>
      <c r="E355" s="1">
        <v>44455</v>
      </c>
    </row>
    <row r="356" spans="1:5" x14ac:dyDescent="0.25">
      <c r="A356" s="1">
        <v>8</v>
      </c>
      <c r="B356" s="1" t="s">
        <v>18</v>
      </c>
      <c r="C356" s="1" t="s">
        <v>10</v>
      </c>
      <c r="D356" s="1">
        <v>56664</v>
      </c>
      <c r="E356" s="1">
        <v>40235</v>
      </c>
    </row>
    <row r="357" spans="1:5" x14ac:dyDescent="0.25">
      <c r="A357" s="1">
        <v>8</v>
      </c>
      <c r="B357" s="1" t="s">
        <v>18</v>
      </c>
      <c r="C357" s="1" t="s">
        <v>11</v>
      </c>
      <c r="D357" s="1">
        <v>32075</v>
      </c>
      <c r="E357" s="1">
        <v>2858</v>
      </c>
    </row>
    <row r="358" spans="1:5" x14ac:dyDescent="0.25">
      <c r="A358" s="1">
        <v>8</v>
      </c>
      <c r="B358" s="1" t="s">
        <v>18</v>
      </c>
      <c r="C358" s="1" t="s">
        <v>12</v>
      </c>
      <c r="D358" s="1">
        <v>18085</v>
      </c>
      <c r="E358" s="1">
        <v>1866</v>
      </c>
    </row>
    <row r="359" spans="1:5" x14ac:dyDescent="0.25">
      <c r="A359" s="1">
        <v>8</v>
      </c>
      <c r="B359" s="1" t="s">
        <v>18</v>
      </c>
      <c r="C359" s="1" t="s">
        <v>13</v>
      </c>
      <c r="D359" s="1">
        <v>205916</v>
      </c>
      <c r="E359" s="1">
        <v>62811</v>
      </c>
    </row>
    <row r="360" spans="1:5" x14ac:dyDescent="0.25">
      <c r="A360" s="1">
        <v>8</v>
      </c>
      <c r="B360" s="1" t="s">
        <v>18</v>
      </c>
      <c r="C360" s="1" t="s">
        <v>14</v>
      </c>
      <c r="D360" s="1">
        <v>56629</v>
      </c>
      <c r="E360" s="1">
        <v>1464</v>
      </c>
    </row>
    <row r="361" spans="1:5" x14ac:dyDescent="0.25">
      <c r="A361" s="1">
        <v>8</v>
      </c>
      <c r="B361" s="1" t="s">
        <v>18</v>
      </c>
      <c r="C361" s="1" t="s">
        <v>15</v>
      </c>
      <c r="D361" s="1">
        <v>43522</v>
      </c>
      <c r="E361" s="1">
        <v>17360</v>
      </c>
    </row>
    <row r="362" spans="1:5" x14ac:dyDescent="0.25">
      <c r="A362" s="1">
        <v>9</v>
      </c>
      <c r="B362" s="1" t="s">
        <v>5</v>
      </c>
      <c r="C362" s="1" t="s">
        <v>6</v>
      </c>
      <c r="D362" s="1">
        <v>1385653</v>
      </c>
      <c r="E362" s="1">
        <v>145370</v>
      </c>
    </row>
    <row r="363" spans="1:5" x14ac:dyDescent="0.25">
      <c r="A363" s="1">
        <v>9</v>
      </c>
      <c r="B363" s="1" t="s">
        <v>5</v>
      </c>
      <c r="C363" s="1" t="s">
        <v>7</v>
      </c>
      <c r="D363" s="1">
        <v>105870</v>
      </c>
      <c r="E363" s="1">
        <v>17134</v>
      </c>
    </row>
    <row r="364" spans="1:5" x14ac:dyDescent="0.25">
      <c r="A364" s="1">
        <v>9</v>
      </c>
      <c r="B364" s="1" t="s">
        <v>5</v>
      </c>
      <c r="C364" s="1" t="s">
        <v>8</v>
      </c>
      <c r="D364" s="1">
        <v>1108578</v>
      </c>
      <c r="E364" s="1">
        <v>803438</v>
      </c>
    </row>
    <row r="365" spans="1:5" x14ac:dyDescent="0.25">
      <c r="A365" s="1">
        <v>9</v>
      </c>
      <c r="B365" s="1" t="s">
        <v>5</v>
      </c>
      <c r="C365" s="1" t="s">
        <v>9</v>
      </c>
      <c r="D365" s="1">
        <v>678786</v>
      </c>
      <c r="E365" s="1">
        <v>214459</v>
      </c>
    </row>
    <row r="366" spans="1:5" x14ac:dyDescent="0.25">
      <c r="A366" s="1">
        <v>9</v>
      </c>
      <c r="B366" s="1" t="s">
        <v>5</v>
      </c>
      <c r="C366" s="1" t="s">
        <v>10</v>
      </c>
      <c r="D366" s="1">
        <v>185608</v>
      </c>
      <c r="E366" s="1">
        <v>148736</v>
      </c>
    </row>
    <row r="367" spans="1:5" x14ac:dyDescent="0.25">
      <c r="A367" s="1">
        <v>9</v>
      </c>
      <c r="B367" s="1" t="s">
        <v>5</v>
      </c>
      <c r="C367" s="1" t="s">
        <v>11</v>
      </c>
      <c r="D367" s="1">
        <v>105275</v>
      </c>
      <c r="E367" s="1">
        <v>14289</v>
      </c>
    </row>
    <row r="368" spans="1:5" x14ac:dyDescent="0.25">
      <c r="A368" s="1">
        <v>9</v>
      </c>
      <c r="B368" s="1" t="s">
        <v>5</v>
      </c>
      <c r="C368" s="1" t="s">
        <v>12</v>
      </c>
      <c r="D368" s="1">
        <v>60057</v>
      </c>
      <c r="E368" s="1">
        <v>9780</v>
      </c>
    </row>
    <row r="369" spans="1:5" x14ac:dyDescent="0.25">
      <c r="A369" s="1">
        <v>9</v>
      </c>
      <c r="B369" s="1" t="s">
        <v>5</v>
      </c>
      <c r="C369" s="1" t="s">
        <v>13</v>
      </c>
      <c r="D369" s="1">
        <v>679804</v>
      </c>
      <c r="E369" s="1">
        <v>284547</v>
      </c>
    </row>
    <row r="370" spans="1:5" x14ac:dyDescent="0.25">
      <c r="A370" s="1">
        <v>9</v>
      </c>
      <c r="B370" s="1" t="s">
        <v>5</v>
      </c>
      <c r="C370" s="1" t="s">
        <v>14</v>
      </c>
      <c r="D370" s="1">
        <v>184631</v>
      </c>
      <c r="E370" s="1">
        <v>7610</v>
      </c>
    </row>
    <row r="371" spans="1:5" x14ac:dyDescent="0.25">
      <c r="A371" s="1">
        <v>9</v>
      </c>
      <c r="B371" s="1" t="s">
        <v>5</v>
      </c>
      <c r="C371" s="1" t="s">
        <v>15</v>
      </c>
      <c r="D371" s="1">
        <v>144964</v>
      </c>
      <c r="E371" s="1">
        <v>76393</v>
      </c>
    </row>
    <row r="372" spans="1:5" x14ac:dyDescent="0.25">
      <c r="A372" s="1">
        <v>9</v>
      </c>
      <c r="B372" s="1" t="s">
        <v>16</v>
      </c>
      <c r="C372" s="1" t="s">
        <v>6</v>
      </c>
      <c r="D372" s="1">
        <v>231114</v>
      </c>
      <c r="E372" s="1">
        <v>73943</v>
      </c>
    </row>
    <row r="373" spans="1:5" x14ac:dyDescent="0.25">
      <c r="A373" s="1">
        <v>9</v>
      </c>
      <c r="B373" s="1" t="s">
        <v>16</v>
      </c>
      <c r="C373" s="1" t="s">
        <v>7</v>
      </c>
      <c r="D373" s="1">
        <v>17506</v>
      </c>
      <c r="E373" s="1">
        <v>7577</v>
      </c>
    </row>
    <row r="374" spans="1:5" x14ac:dyDescent="0.25">
      <c r="A374" s="1">
        <v>9</v>
      </c>
      <c r="B374" s="1" t="s">
        <v>16</v>
      </c>
      <c r="C374" s="1" t="s">
        <v>8</v>
      </c>
      <c r="D374" s="1">
        <v>184580</v>
      </c>
      <c r="E374" s="1">
        <v>168587</v>
      </c>
    </row>
    <row r="375" spans="1:5" x14ac:dyDescent="0.25">
      <c r="A375" s="1">
        <v>9</v>
      </c>
      <c r="B375" s="1" t="s">
        <v>16</v>
      </c>
      <c r="C375" s="1" t="s">
        <v>9</v>
      </c>
      <c r="D375" s="1">
        <v>113458</v>
      </c>
      <c r="E375" s="1">
        <v>73681</v>
      </c>
    </row>
    <row r="376" spans="1:5" x14ac:dyDescent="0.25">
      <c r="A376" s="1">
        <v>9</v>
      </c>
      <c r="B376" s="1" t="s">
        <v>16</v>
      </c>
      <c r="C376" s="1" t="s">
        <v>10</v>
      </c>
      <c r="D376" s="1">
        <v>30709</v>
      </c>
      <c r="E376" s="1">
        <v>28904</v>
      </c>
    </row>
    <row r="377" spans="1:5" x14ac:dyDescent="0.25">
      <c r="A377" s="1">
        <v>9</v>
      </c>
      <c r="B377" s="1" t="s">
        <v>16</v>
      </c>
      <c r="C377" s="1" t="s">
        <v>11</v>
      </c>
      <c r="D377" s="1">
        <v>17654</v>
      </c>
      <c r="E377" s="1">
        <v>6833</v>
      </c>
    </row>
    <row r="378" spans="1:5" x14ac:dyDescent="0.25">
      <c r="A378" s="1">
        <v>9</v>
      </c>
      <c r="B378" s="1" t="s">
        <v>16</v>
      </c>
      <c r="C378" s="1" t="s">
        <v>12</v>
      </c>
      <c r="D378" s="1">
        <v>10053</v>
      </c>
      <c r="E378" s="1">
        <v>4511</v>
      </c>
    </row>
    <row r="379" spans="1:5" x14ac:dyDescent="0.25">
      <c r="A379" s="1">
        <v>9</v>
      </c>
      <c r="B379" s="1" t="s">
        <v>16</v>
      </c>
      <c r="C379" s="1" t="s">
        <v>13</v>
      </c>
      <c r="D379" s="1">
        <v>112767</v>
      </c>
      <c r="E379" s="1">
        <v>83689</v>
      </c>
    </row>
    <row r="380" spans="1:5" x14ac:dyDescent="0.25">
      <c r="A380" s="1">
        <v>9</v>
      </c>
      <c r="B380" s="1" t="s">
        <v>16</v>
      </c>
      <c r="C380" s="1" t="s">
        <v>14</v>
      </c>
      <c r="D380" s="1">
        <v>31042</v>
      </c>
      <c r="E380" s="1">
        <v>4725</v>
      </c>
    </row>
    <row r="381" spans="1:5" x14ac:dyDescent="0.25">
      <c r="A381" s="1">
        <v>9</v>
      </c>
      <c r="B381" s="1" t="s">
        <v>16</v>
      </c>
      <c r="C381" s="1" t="s">
        <v>15</v>
      </c>
      <c r="D381" s="1">
        <v>24272</v>
      </c>
      <c r="E381" s="1">
        <v>19760</v>
      </c>
    </row>
    <row r="382" spans="1:5" x14ac:dyDescent="0.25">
      <c r="A382" s="1">
        <v>9</v>
      </c>
      <c r="B382" s="1" t="s">
        <v>17</v>
      </c>
      <c r="C382" s="1" t="s">
        <v>6</v>
      </c>
      <c r="D382" s="1">
        <v>461959</v>
      </c>
      <c r="E382" s="1">
        <v>87550</v>
      </c>
    </row>
    <row r="383" spans="1:5" x14ac:dyDescent="0.25">
      <c r="A383" s="1">
        <v>9</v>
      </c>
      <c r="B383" s="1" t="s">
        <v>17</v>
      </c>
      <c r="C383" s="1" t="s">
        <v>7</v>
      </c>
      <c r="D383" s="1">
        <v>35343</v>
      </c>
      <c r="E383" s="1">
        <v>9761</v>
      </c>
    </row>
    <row r="384" spans="1:5" x14ac:dyDescent="0.25">
      <c r="A384" s="1">
        <v>9</v>
      </c>
      <c r="B384" s="1" t="s">
        <v>17</v>
      </c>
      <c r="C384" s="1" t="s">
        <v>8</v>
      </c>
      <c r="D384" s="1">
        <v>369154</v>
      </c>
      <c r="E384" s="1">
        <v>310001</v>
      </c>
    </row>
    <row r="385" spans="1:5" x14ac:dyDescent="0.25">
      <c r="A385" s="1">
        <v>9</v>
      </c>
      <c r="B385" s="1" t="s">
        <v>17</v>
      </c>
      <c r="C385" s="1" t="s">
        <v>9</v>
      </c>
      <c r="D385" s="1">
        <v>226908</v>
      </c>
      <c r="E385" s="1">
        <v>108800</v>
      </c>
    </row>
    <row r="386" spans="1:5" x14ac:dyDescent="0.25">
      <c r="A386" s="1">
        <v>9</v>
      </c>
      <c r="B386" s="1" t="s">
        <v>17</v>
      </c>
      <c r="C386" s="1" t="s">
        <v>10</v>
      </c>
      <c r="D386" s="1">
        <v>61736</v>
      </c>
      <c r="E386" s="1">
        <v>54997</v>
      </c>
    </row>
    <row r="387" spans="1:5" x14ac:dyDescent="0.25">
      <c r="A387" s="1">
        <v>9</v>
      </c>
      <c r="B387" s="1" t="s">
        <v>17</v>
      </c>
      <c r="C387" s="1" t="s">
        <v>11</v>
      </c>
      <c r="D387" s="1">
        <v>35634</v>
      </c>
      <c r="E387" s="1">
        <v>8625</v>
      </c>
    </row>
    <row r="388" spans="1:5" x14ac:dyDescent="0.25">
      <c r="A388" s="1">
        <v>9</v>
      </c>
      <c r="B388" s="1" t="s">
        <v>17</v>
      </c>
      <c r="C388" s="1" t="s">
        <v>12</v>
      </c>
      <c r="D388" s="1">
        <v>19786</v>
      </c>
      <c r="E388" s="1">
        <v>5616</v>
      </c>
    </row>
    <row r="389" spans="1:5" x14ac:dyDescent="0.25">
      <c r="A389" s="1">
        <v>9</v>
      </c>
      <c r="B389" s="1" t="s">
        <v>17</v>
      </c>
      <c r="C389" s="1" t="s">
        <v>13</v>
      </c>
      <c r="D389" s="1">
        <v>226222</v>
      </c>
      <c r="E389" s="1">
        <v>133254</v>
      </c>
    </row>
    <row r="390" spans="1:5" x14ac:dyDescent="0.25">
      <c r="A390" s="1">
        <v>9</v>
      </c>
      <c r="B390" s="1" t="s">
        <v>17</v>
      </c>
      <c r="C390" s="1" t="s">
        <v>14</v>
      </c>
      <c r="D390" s="1">
        <v>61733</v>
      </c>
      <c r="E390" s="1">
        <v>4975</v>
      </c>
    </row>
    <row r="391" spans="1:5" x14ac:dyDescent="0.25">
      <c r="A391" s="1">
        <v>9</v>
      </c>
      <c r="B391" s="1" t="s">
        <v>17</v>
      </c>
      <c r="C391" s="1" t="s">
        <v>15</v>
      </c>
      <c r="D391" s="1">
        <v>48361</v>
      </c>
      <c r="E391" s="1">
        <v>33202</v>
      </c>
    </row>
    <row r="392" spans="1:5" x14ac:dyDescent="0.25">
      <c r="A392" s="1">
        <v>9</v>
      </c>
      <c r="B392" s="1" t="s">
        <v>18</v>
      </c>
      <c r="C392" s="1" t="s">
        <v>6</v>
      </c>
      <c r="D392" s="1">
        <v>460972</v>
      </c>
      <c r="E392" s="1">
        <v>30499</v>
      </c>
    </row>
    <row r="393" spans="1:5" x14ac:dyDescent="0.25">
      <c r="A393" s="1">
        <v>9</v>
      </c>
      <c r="B393" s="1" t="s">
        <v>18</v>
      </c>
      <c r="C393" s="1" t="s">
        <v>7</v>
      </c>
      <c r="D393" s="1">
        <v>35204</v>
      </c>
      <c r="E393" s="1">
        <v>3713</v>
      </c>
    </row>
    <row r="394" spans="1:5" x14ac:dyDescent="0.25">
      <c r="A394" s="1">
        <v>9</v>
      </c>
      <c r="B394" s="1" t="s">
        <v>18</v>
      </c>
      <c r="C394" s="1" t="s">
        <v>8</v>
      </c>
      <c r="D394" s="1">
        <v>368969</v>
      </c>
      <c r="E394" s="1">
        <v>225722</v>
      </c>
    </row>
    <row r="395" spans="1:5" x14ac:dyDescent="0.25">
      <c r="A395" s="1">
        <v>9</v>
      </c>
      <c r="B395" s="1" t="s">
        <v>18</v>
      </c>
      <c r="C395" s="1" t="s">
        <v>9</v>
      </c>
      <c r="D395" s="1">
        <v>227181</v>
      </c>
      <c r="E395" s="1">
        <v>49102</v>
      </c>
    </row>
    <row r="396" spans="1:5" x14ac:dyDescent="0.25">
      <c r="A396" s="1">
        <v>9</v>
      </c>
      <c r="B396" s="1" t="s">
        <v>18</v>
      </c>
      <c r="C396" s="1" t="s">
        <v>10</v>
      </c>
      <c r="D396" s="1">
        <v>61399</v>
      </c>
      <c r="E396" s="1">
        <v>43573</v>
      </c>
    </row>
    <row r="397" spans="1:5" x14ac:dyDescent="0.25">
      <c r="A397" s="1">
        <v>9</v>
      </c>
      <c r="B397" s="1" t="s">
        <v>18</v>
      </c>
      <c r="C397" s="1" t="s">
        <v>11</v>
      </c>
      <c r="D397" s="1">
        <v>35178</v>
      </c>
      <c r="E397" s="1">
        <v>2979</v>
      </c>
    </row>
    <row r="398" spans="1:5" x14ac:dyDescent="0.25">
      <c r="A398" s="1">
        <v>9</v>
      </c>
      <c r="B398" s="1" t="s">
        <v>18</v>
      </c>
      <c r="C398" s="1" t="s">
        <v>12</v>
      </c>
      <c r="D398" s="1">
        <v>19702</v>
      </c>
      <c r="E398" s="1">
        <v>2001</v>
      </c>
    </row>
    <row r="399" spans="1:5" x14ac:dyDescent="0.25">
      <c r="A399" s="1">
        <v>9</v>
      </c>
      <c r="B399" s="1" t="s">
        <v>18</v>
      </c>
      <c r="C399" s="1" t="s">
        <v>13</v>
      </c>
      <c r="D399" s="1">
        <v>225887</v>
      </c>
      <c r="E399" s="1">
        <v>68471</v>
      </c>
    </row>
    <row r="400" spans="1:5" x14ac:dyDescent="0.25">
      <c r="A400" s="1">
        <v>9</v>
      </c>
      <c r="B400" s="1" t="s">
        <v>18</v>
      </c>
      <c r="C400" s="1" t="s">
        <v>14</v>
      </c>
      <c r="D400" s="1">
        <v>60994</v>
      </c>
      <c r="E400" s="1">
        <v>1585</v>
      </c>
    </row>
    <row r="401" spans="1:5" x14ac:dyDescent="0.25">
      <c r="A401" s="1">
        <v>9</v>
      </c>
      <c r="B401" s="1" t="s">
        <v>18</v>
      </c>
      <c r="C401" s="1" t="s">
        <v>15</v>
      </c>
      <c r="D401" s="1">
        <v>48363</v>
      </c>
      <c r="E401" s="1">
        <v>19344</v>
      </c>
    </row>
    <row r="402" spans="1:5" x14ac:dyDescent="0.25">
      <c r="A402" s="1">
        <v>10</v>
      </c>
      <c r="B402" s="1" t="s">
        <v>5</v>
      </c>
      <c r="C402" s="1" t="s">
        <v>6</v>
      </c>
      <c r="D402" s="1">
        <v>1518550</v>
      </c>
      <c r="E402" s="1">
        <v>158919</v>
      </c>
    </row>
    <row r="403" spans="1:5" x14ac:dyDescent="0.25">
      <c r="A403" s="1">
        <v>10</v>
      </c>
      <c r="B403" s="1" t="s">
        <v>5</v>
      </c>
      <c r="C403" s="1" t="s">
        <v>7</v>
      </c>
      <c r="D403" s="1">
        <v>115847</v>
      </c>
      <c r="E403" s="1">
        <v>18722</v>
      </c>
    </row>
    <row r="404" spans="1:5" x14ac:dyDescent="0.25">
      <c r="A404" s="1">
        <v>10</v>
      </c>
      <c r="B404" s="1" t="s">
        <v>5</v>
      </c>
      <c r="C404" s="1" t="s">
        <v>8</v>
      </c>
      <c r="D404" s="1">
        <v>1206360</v>
      </c>
      <c r="E404" s="1">
        <v>871201</v>
      </c>
    </row>
    <row r="405" spans="1:5" x14ac:dyDescent="0.25">
      <c r="A405" s="1">
        <v>10</v>
      </c>
      <c r="B405" s="1" t="s">
        <v>5</v>
      </c>
      <c r="C405" s="1" t="s">
        <v>9</v>
      </c>
      <c r="D405" s="1">
        <v>743352</v>
      </c>
      <c r="E405" s="1">
        <v>233674</v>
      </c>
    </row>
    <row r="406" spans="1:5" x14ac:dyDescent="0.25">
      <c r="A406" s="1">
        <v>10</v>
      </c>
      <c r="B406" s="1" t="s">
        <v>5</v>
      </c>
      <c r="C406" s="1" t="s">
        <v>10</v>
      </c>
      <c r="D406" s="1">
        <v>201288</v>
      </c>
      <c r="E406" s="1">
        <v>161146</v>
      </c>
    </row>
    <row r="407" spans="1:5" x14ac:dyDescent="0.25">
      <c r="A407" s="1">
        <v>10</v>
      </c>
      <c r="B407" s="1" t="s">
        <v>5</v>
      </c>
      <c r="C407" s="1" t="s">
        <v>11</v>
      </c>
      <c r="D407" s="1">
        <v>116204</v>
      </c>
      <c r="E407" s="1">
        <v>15781</v>
      </c>
    </row>
    <row r="408" spans="1:5" x14ac:dyDescent="0.25">
      <c r="A408" s="1">
        <v>10</v>
      </c>
      <c r="B408" s="1" t="s">
        <v>5</v>
      </c>
      <c r="C408" s="1" t="s">
        <v>12</v>
      </c>
      <c r="D408" s="1">
        <v>64287</v>
      </c>
      <c r="E408" s="1">
        <v>10368</v>
      </c>
    </row>
    <row r="409" spans="1:5" x14ac:dyDescent="0.25">
      <c r="A409" s="1">
        <v>10</v>
      </c>
      <c r="B409" s="1" t="s">
        <v>5</v>
      </c>
      <c r="C409" s="1" t="s">
        <v>13</v>
      </c>
      <c r="D409" s="1">
        <v>743418</v>
      </c>
      <c r="E409" s="1">
        <v>310063</v>
      </c>
    </row>
    <row r="410" spans="1:5" x14ac:dyDescent="0.25">
      <c r="A410" s="1">
        <v>10</v>
      </c>
      <c r="B410" s="1" t="s">
        <v>5</v>
      </c>
      <c r="C410" s="1" t="s">
        <v>14</v>
      </c>
      <c r="D410" s="1">
        <v>200102</v>
      </c>
      <c r="E410" s="1">
        <v>8116</v>
      </c>
    </row>
    <row r="411" spans="1:5" x14ac:dyDescent="0.25">
      <c r="A411" s="1">
        <v>10</v>
      </c>
      <c r="B411" s="1" t="s">
        <v>5</v>
      </c>
      <c r="C411" s="1" t="s">
        <v>15</v>
      </c>
      <c r="D411" s="1">
        <v>159773</v>
      </c>
      <c r="E411" s="1">
        <v>84162</v>
      </c>
    </row>
    <row r="412" spans="1:5" x14ac:dyDescent="0.25">
      <c r="A412" s="1">
        <v>10</v>
      </c>
      <c r="B412" s="1" t="s">
        <v>16</v>
      </c>
      <c r="C412" s="1" t="s">
        <v>6</v>
      </c>
      <c r="D412" s="1">
        <v>252581</v>
      </c>
      <c r="E412" s="1">
        <v>80166</v>
      </c>
    </row>
    <row r="413" spans="1:5" x14ac:dyDescent="0.25">
      <c r="A413" s="1">
        <v>10</v>
      </c>
      <c r="B413" s="1" t="s">
        <v>16</v>
      </c>
      <c r="C413" s="1" t="s">
        <v>7</v>
      </c>
      <c r="D413" s="1">
        <v>19203</v>
      </c>
      <c r="E413" s="1">
        <v>8260</v>
      </c>
    </row>
    <row r="414" spans="1:5" x14ac:dyDescent="0.25">
      <c r="A414" s="1">
        <v>10</v>
      </c>
      <c r="B414" s="1" t="s">
        <v>16</v>
      </c>
      <c r="C414" s="1" t="s">
        <v>8</v>
      </c>
      <c r="D414" s="1">
        <v>200399</v>
      </c>
      <c r="E414" s="1">
        <v>182992</v>
      </c>
    </row>
    <row r="415" spans="1:5" x14ac:dyDescent="0.25">
      <c r="A415" s="1">
        <v>10</v>
      </c>
      <c r="B415" s="1" t="s">
        <v>16</v>
      </c>
      <c r="C415" s="1" t="s">
        <v>9</v>
      </c>
      <c r="D415" s="1">
        <v>124045</v>
      </c>
      <c r="E415" s="1">
        <v>80367</v>
      </c>
    </row>
    <row r="416" spans="1:5" x14ac:dyDescent="0.25">
      <c r="A416" s="1">
        <v>10</v>
      </c>
      <c r="B416" s="1" t="s">
        <v>16</v>
      </c>
      <c r="C416" s="1" t="s">
        <v>10</v>
      </c>
      <c r="D416" s="1">
        <v>33166</v>
      </c>
      <c r="E416" s="1">
        <v>31280</v>
      </c>
    </row>
    <row r="417" spans="1:5" x14ac:dyDescent="0.25">
      <c r="A417" s="1">
        <v>10</v>
      </c>
      <c r="B417" s="1" t="s">
        <v>16</v>
      </c>
      <c r="C417" s="1" t="s">
        <v>11</v>
      </c>
      <c r="D417" s="1">
        <v>19242</v>
      </c>
      <c r="E417" s="1">
        <v>7497</v>
      </c>
    </row>
    <row r="418" spans="1:5" x14ac:dyDescent="0.25">
      <c r="A418" s="1">
        <v>10</v>
      </c>
      <c r="B418" s="1" t="s">
        <v>16</v>
      </c>
      <c r="C418" s="1" t="s">
        <v>12</v>
      </c>
      <c r="D418" s="1">
        <v>10669</v>
      </c>
      <c r="E418" s="1">
        <v>4629</v>
      </c>
    </row>
    <row r="419" spans="1:5" x14ac:dyDescent="0.25">
      <c r="A419" s="1">
        <v>10</v>
      </c>
      <c r="B419" s="1" t="s">
        <v>16</v>
      </c>
      <c r="C419" s="1" t="s">
        <v>13</v>
      </c>
      <c r="D419" s="1">
        <v>124128</v>
      </c>
      <c r="E419" s="1">
        <v>92010</v>
      </c>
    </row>
    <row r="420" spans="1:5" x14ac:dyDescent="0.25">
      <c r="A420" s="1">
        <v>10</v>
      </c>
      <c r="B420" s="1" t="s">
        <v>16</v>
      </c>
      <c r="C420" s="1" t="s">
        <v>14</v>
      </c>
      <c r="D420" s="1">
        <v>33581</v>
      </c>
      <c r="E420" s="1">
        <v>4880</v>
      </c>
    </row>
    <row r="421" spans="1:5" x14ac:dyDescent="0.25">
      <c r="A421" s="1">
        <v>10</v>
      </c>
      <c r="B421" s="1" t="s">
        <v>16</v>
      </c>
      <c r="C421" s="1" t="s">
        <v>15</v>
      </c>
      <c r="D421" s="1">
        <v>26776</v>
      </c>
      <c r="E421" s="1">
        <v>21920</v>
      </c>
    </row>
    <row r="422" spans="1:5" x14ac:dyDescent="0.25">
      <c r="A422" s="1">
        <v>10</v>
      </c>
      <c r="B422" s="1" t="s">
        <v>17</v>
      </c>
      <c r="C422" s="1" t="s">
        <v>6</v>
      </c>
      <c r="D422" s="1">
        <v>507093</v>
      </c>
      <c r="E422" s="1">
        <v>95523</v>
      </c>
    </row>
    <row r="423" spans="1:5" x14ac:dyDescent="0.25">
      <c r="A423" s="1">
        <v>10</v>
      </c>
      <c r="B423" s="1" t="s">
        <v>17</v>
      </c>
      <c r="C423" s="1" t="s">
        <v>7</v>
      </c>
      <c r="D423" s="1">
        <v>38555</v>
      </c>
      <c r="E423" s="1">
        <v>10742</v>
      </c>
    </row>
    <row r="424" spans="1:5" x14ac:dyDescent="0.25">
      <c r="A424" s="1">
        <v>10</v>
      </c>
      <c r="B424" s="1" t="s">
        <v>17</v>
      </c>
      <c r="C424" s="1" t="s">
        <v>8</v>
      </c>
      <c r="D424" s="1">
        <v>403256</v>
      </c>
      <c r="E424" s="1">
        <v>338418</v>
      </c>
    </row>
    <row r="425" spans="1:5" x14ac:dyDescent="0.25">
      <c r="A425" s="1">
        <v>10</v>
      </c>
      <c r="B425" s="1" t="s">
        <v>17</v>
      </c>
      <c r="C425" s="1" t="s">
        <v>9</v>
      </c>
      <c r="D425" s="1">
        <v>248026</v>
      </c>
      <c r="E425" s="1">
        <v>118332</v>
      </c>
    </row>
    <row r="426" spans="1:5" x14ac:dyDescent="0.25">
      <c r="A426" s="1">
        <v>10</v>
      </c>
      <c r="B426" s="1" t="s">
        <v>17</v>
      </c>
      <c r="C426" s="1" t="s">
        <v>10</v>
      </c>
      <c r="D426" s="1">
        <v>66296</v>
      </c>
      <c r="E426" s="1">
        <v>58931</v>
      </c>
    </row>
    <row r="427" spans="1:5" x14ac:dyDescent="0.25">
      <c r="A427" s="1">
        <v>10</v>
      </c>
      <c r="B427" s="1" t="s">
        <v>17</v>
      </c>
      <c r="C427" s="1" t="s">
        <v>11</v>
      </c>
      <c r="D427" s="1">
        <v>38782</v>
      </c>
      <c r="E427" s="1">
        <v>9176</v>
      </c>
    </row>
    <row r="428" spans="1:5" x14ac:dyDescent="0.25">
      <c r="A428" s="1">
        <v>10</v>
      </c>
      <c r="B428" s="1" t="s">
        <v>17</v>
      </c>
      <c r="C428" s="1" t="s">
        <v>12</v>
      </c>
      <c r="D428" s="1">
        <v>21349</v>
      </c>
      <c r="E428" s="1">
        <v>5918</v>
      </c>
    </row>
    <row r="429" spans="1:5" x14ac:dyDescent="0.25">
      <c r="A429" s="1">
        <v>10</v>
      </c>
      <c r="B429" s="1" t="s">
        <v>17</v>
      </c>
      <c r="C429" s="1" t="s">
        <v>13</v>
      </c>
      <c r="D429" s="1">
        <v>246974</v>
      </c>
      <c r="E429" s="1">
        <v>145590</v>
      </c>
    </row>
    <row r="430" spans="1:5" x14ac:dyDescent="0.25">
      <c r="A430" s="1">
        <v>10</v>
      </c>
      <c r="B430" s="1" t="s">
        <v>17</v>
      </c>
      <c r="C430" s="1" t="s">
        <v>14</v>
      </c>
      <c r="D430" s="1">
        <v>66684</v>
      </c>
      <c r="E430" s="1">
        <v>5253</v>
      </c>
    </row>
    <row r="431" spans="1:5" x14ac:dyDescent="0.25">
      <c r="A431" s="1">
        <v>10</v>
      </c>
      <c r="B431" s="1" t="s">
        <v>17</v>
      </c>
      <c r="C431" s="1" t="s">
        <v>15</v>
      </c>
      <c r="D431" s="1">
        <v>52750</v>
      </c>
      <c r="E431" s="1">
        <v>36193</v>
      </c>
    </row>
    <row r="432" spans="1:5" x14ac:dyDescent="0.25">
      <c r="A432" s="1">
        <v>10</v>
      </c>
      <c r="B432" s="1" t="s">
        <v>18</v>
      </c>
      <c r="C432" s="1" t="s">
        <v>6</v>
      </c>
      <c r="D432" s="1">
        <v>506177</v>
      </c>
      <c r="E432" s="1">
        <v>33032</v>
      </c>
    </row>
    <row r="433" spans="1:5" x14ac:dyDescent="0.25">
      <c r="A433" s="1">
        <v>10</v>
      </c>
      <c r="B433" s="1" t="s">
        <v>18</v>
      </c>
      <c r="C433" s="1" t="s">
        <v>7</v>
      </c>
      <c r="D433" s="1">
        <v>38974</v>
      </c>
      <c r="E433" s="1">
        <v>4051</v>
      </c>
    </row>
    <row r="434" spans="1:5" x14ac:dyDescent="0.25">
      <c r="A434" s="1">
        <v>10</v>
      </c>
      <c r="B434" s="1" t="s">
        <v>18</v>
      </c>
      <c r="C434" s="1" t="s">
        <v>8</v>
      </c>
      <c r="D434" s="1">
        <v>402349</v>
      </c>
      <c r="E434" s="1">
        <v>245952</v>
      </c>
    </row>
    <row r="435" spans="1:5" x14ac:dyDescent="0.25">
      <c r="A435" s="1">
        <v>10</v>
      </c>
      <c r="B435" s="1" t="s">
        <v>18</v>
      </c>
      <c r="C435" s="1" t="s">
        <v>9</v>
      </c>
      <c r="D435" s="1">
        <v>247575</v>
      </c>
      <c r="E435" s="1">
        <v>53198</v>
      </c>
    </row>
    <row r="436" spans="1:5" x14ac:dyDescent="0.25">
      <c r="A436" s="1">
        <v>10</v>
      </c>
      <c r="B436" s="1" t="s">
        <v>18</v>
      </c>
      <c r="C436" s="1" t="s">
        <v>10</v>
      </c>
      <c r="D436" s="1">
        <v>66669</v>
      </c>
      <c r="E436" s="1">
        <v>47282</v>
      </c>
    </row>
    <row r="437" spans="1:5" x14ac:dyDescent="0.25">
      <c r="A437" s="1">
        <v>10</v>
      </c>
      <c r="B437" s="1" t="s">
        <v>18</v>
      </c>
      <c r="C437" s="1" t="s">
        <v>11</v>
      </c>
      <c r="D437" s="1">
        <v>38951</v>
      </c>
      <c r="E437" s="1">
        <v>3356</v>
      </c>
    </row>
    <row r="438" spans="1:5" x14ac:dyDescent="0.25">
      <c r="A438" s="1">
        <v>10</v>
      </c>
      <c r="B438" s="1" t="s">
        <v>18</v>
      </c>
      <c r="C438" s="1" t="s">
        <v>12</v>
      </c>
      <c r="D438" s="1">
        <v>21309</v>
      </c>
      <c r="E438" s="1">
        <v>2251</v>
      </c>
    </row>
    <row r="439" spans="1:5" x14ac:dyDescent="0.25">
      <c r="A439" s="1">
        <v>10</v>
      </c>
      <c r="B439" s="1" t="s">
        <v>18</v>
      </c>
      <c r="C439" s="1" t="s">
        <v>13</v>
      </c>
      <c r="D439" s="1">
        <v>248797</v>
      </c>
      <c r="E439" s="1">
        <v>75088</v>
      </c>
    </row>
    <row r="440" spans="1:5" x14ac:dyDescent="0.25">
      <c r="A440" s="1">
        <v>10</v>
      </c>
      <c r="B440" s="1" t="s">
        <v>18</v>
      </c>
      <c r="C440" s="1" t="s">
        <v>14</v>
      </c>
      <c r="D440" s="1">
        <v>66708</v>
      </c>
      <c r="E440" s="1">
        <v>1713</v>
      </c>
    </row>
    <row r="441" spans="1:5" x14ac:dyDescent="0.25">
      <c r="A441" s="1">
        <v>10</v>
      </c>
      <c r="B441" s="1" t="s">
        <v>18</v>
      </c>
      <c r="C441" s="1" t="s">
        <v>15</v>
      </c>
      <c r="D441" s="1">
        <v>53340</v>
      </c>
      <c r="E441" s="1">
        <v>21305</v>
      </c>
    </row>
    <row r="442" spans="1:5" x14ac:dyDescent="0.25">
      <c r="A442" s="1">
        <v>11</v>
      </c>
      <c r="B442" s="1" t="s">
        <v>5</v>
      </c>
      <c r="C442" s="1" t="s">
        <v>6</v>
      </c>
      <c r="D442" s="1">
        <v>1652990</v>
      </c>
      <c r="E442" s="1">
        <v>171302</v>
      </c>
    </row>
    <row r="443" spans="1:5" x14ac:dyDescent="0.25">
      <c r="A443" s="1">
        <v>11</v>
      </c>
      <c r="B443" s="1" t="s">
        <v>5</v>
      </c>
      <c r="C443" s="1" t="s">
        <v>7</v>
      </c>
      <c r="D443" s="1">
        <v>126084</v>
      </c>
      <c r="E443" s="1">
        <v>20180</v>
      </c>
    </row>
    <row r="444" spans="1:5" x14ac:dyDescent="0.25">
      <c r="A444" s="1">
        <v>11</v>
      </c>
      <c r="B444" s="1" t="s">
        <v>5</v>
      </c>
      <c r="C444" s="1" t="s">
        <v>8</v>
      </c>
      <c r="D444" s="1">
        <v>1305886</v>
      </c>
      <c r="E444" s="1">
        <v>941897</v>
      </c>
    </row>
    <row r="445" spans="1:5" x14ac:dyDescent="0.25">
      <c r="A445" s="1">
        <v>11</v>
      </c>
      <c r="B445" s="1" t="s">
        <v>5</v>
      </c>
      <c r="C445" s="1" t="s">
        <v>9</v>
      </c>
      <c r="D445" s="1">
        <v>807819</v>
      </c>
      <c r="E445" s="1">
        <v>251925</v>
      </c>
    </row>
    <row r="446" spans="1:5" x14ac:dyDescent="0.25">
      <c r="A446" s="1">
        <v>11</v>
      </c>
      <c r="B446" s="1" t="s">
        <v>5</v>
      </c>
      <c r="C446" s="1" t="s">
        <v>10</v>
      </c>
      <c r="D446" s="1">
        <v>215349</v>
      </c>
      <c r="E446" s="1">
        <v>171967</v>
      </c>
    </row>
    <row r="447" spans="1:5" x14ac:dyDescent="0.25">
      <c r="A447" s="1">
        <v>11</v>
      </c>
      <c r="B447" s="1" t="s">
        <v>5</v>
      </c>
      <c r="C447" s="1" t="s">
        <v>11</v>
      </c>
      <c r="D447" s="1">
        <v>126198</v>
      </c>
      <c r="E447" s="1">
        <v>17121</v>
      </c>
    </row>
    <row r="448" spans="1:5" x14ac:dyDescent="0.25">
      <c r="A448" s="1">
        <v>11</v>
      </c>
      <c r="B448" s="1" t="s">
        <v>5</v>
      </c>
      <c r="C448" s="1" t="s">
        <v>12</v>
      </c>
      <c r="D448" s="1">
        <v>68435</v>
      </c>
      <c r="E448" s="1">
        <v>10959</v>
      </c>
    </row>
    <row r="449" spans="1:5" x14ac:dyDescent="0.25">
      <c r="A449" s="1">
        <v>11</v>
      </c>
      <c r="B449" s="1" t="s">
        <v>5</v>
      </c>
      <c r="C449" s="1" t="s">
        <v>13</v>
      </c>
      <c r="D449" s="1">
        <v>808168</v>
      </c>
      <c r="E449" s="1">
        <v>336510</v>
      </c>
    </row>
    <row r="450" spans="1:5" x14ac:dyDescent="0.25">
      <c r="A450" s="1">
        <v>11</v>
      </c>
      <c r="B450" s="1" t="s">
        <v>5</v>
      </c>
      <c r="C450" s="1" t="s">
        <v>14</v>
      </c>
      <c r="D450" s="1">
        <v>214924</v>
      </c>
      <c r="E450" s="1">
        <v>8490</v>
      </c>
    </row>
    <row r="451" spans="1:5" x14ac:dyDescent="0.25">
      <c r="A451" s="1">
        <v>11</v>
      </c>
      <c r="B451" s="1" t="s">
        <v>5</v>
      </c>
      <c r="C451" s="1" t="s">
        <v>15</v>
      </c>
      <c r="D451" s="1">
        <v>174668</v>
      </c>
      <c r="E451" s="1">
        <v>91432</v>
      </c>
    </row>
    <row r="452" spans="1:5" x14ac:dyDescent="0.25">
      <c r="A452" s="1">
        <v>11</v>
      </c>
      <c r="B452" s="1" t="s">
        <v>16</v>
      </c>
      <c r="C452" s="1" t="s">
        <v>6</v>
      </c>
      <c r="D452" s="1">
        <v>275135</v>
      </c>
      <c r="E452" s="1">
        <v>86495</v>
      </c>
    </row>
    <row r="453" spans="1:5" x14ac:dyDescent="0.25">
      <c r="A453" s="1">
        <v>11</v>
      </c>
      <c r="B453" s="1" t="s">
        <v>16</v>
      </c>
      <c r="C453" s="1" t="s">
        <v>7</v>
      </c>
      <c r="D453" s="1">
        <v>21076</v>
      </c>
      <c r="E453" s="1">
        <v>9087</v>
      </c>
    </row>
    <row r="454" spans="1:5" x14ac:dyDescent="0.25">
      <c r="A454" s="1">
        <v>11</v>
      </c>
      <c r="B454" s="1" t="s">
        <v>16</v>
      </c>
      <c r="C454" s="1" t="s">
        <v>8</v>
      </c>
      <c r="D454" s="1">
        <v>217439</v>
      </c>
      <c r="E454" s="1">
        <v>198298</v>
      </c>
    </row>
    <row r="455" spans="1:5" x14ac:dyDescent="0.25">
      <c r="A455" s="1">
        <v>11</v>
      </c>
      <c r="B455" s="1" t="s">
        <v>16</v>
      </c>
      <c r="C455" s="1" t="s">
        <v>9</v>
      </c>
      <c r="D455" s="1">
        <v>133868</v>
      </c>
      <c r="E455" s="1">
        <v>86517</v>
      </c>
    </row>
    <row r="456" spans="1:5" x14ac:dyDescent="0.25">
      <c r="A456" s="1">
        <v>11</v>
      </c>
      <c r="B456" s="1" t="s">
        <v>16</v>
      </c>
      <c r="C456" s="1" t="s">
        <v>10</v>
      </c>
      <c r="D456" s="1">
        <v>35967</v>
      </c>
      <c r="E456" s="1">
        <v>33835</v>
      </c>
    </row>
    <row r="457" spans="1:5" x14ac:dyDescent="0.25">
      <c r="A457" s="1">
        <v>11</v>
      </c>
      <c r="B457" s="1" t="s">
        <v>16</v>
      </c>
      <c r="C457" s="1" t="s">
        <v>11</v>
      </c>
      <c r="D457" s="1">
        <v>21061</v>
      </c>
      <c r="E457" s="1">
        <v>8107</v>
      </c>
    </row>
    <row r="458" spans="1:5" x14ac:dyDescent="0.25">
      <c r="A458" s="1">
        <v>11</v>
      </c>
      <c r="B458" s="1" t="s">
        <v>16</v>
      </c>
      <c r="C458" s="1" t="s">
        <v>12</v>
      </c>
      <c r="D458" s="1">
        <v>11455</v>
      </c>
      <c r="E458" s="1">
        <v>4900</v>
      </c>
    </row>
    <row r="459" spans="1:5" x14ac:dyDescent="0.25">
      <c r="A459" s="1">
        <v>11</v>
      </c>
      <c r="B459" s="1" t="s">
        <v>16</v>
      </c>
      <c r="C459" s="1" t="s">
        <v>13</v>
      </c>
      <c r="D459" s="1">
        <v>134489</v>
      </c>
      <c r="E459" s="1">
        <v>99602</v>
      </c>
    </row>
    <row r="460" spans="1:5" x14ac:dyDescent="0.25">
      <c r="A460" s="1">
        <v>11</v>
      </c>
      <c r="B460" s="1" t="s">
        <v>16</v>
      </c>
      <c r="C460" s="1" t="s">
        <v>14</v>
      </c>
      <c r="D460" s="1">
        <v>36117</v>
      </c>
      <c r="E460" s="1">
        <v>5120</v>
      </c>
    </row>
    <row r="461" spans="1:5" x14ac:dyDescent="0.25">
      <c r="A461" s="1">
        <v>11</v>
      </c>
      <c r="B461" s="1" t="s">
        <v>16</v>
      </c>
      <c r="C461" s="1" t="s">
        <v>15</v>
      </c>
      <c r="D461" s="1">
        <v>29108</v>
      </c>
      <c r="E461" s="1">
        <v>23695</v>
      </c>
    </row>
    <row r="462" spans="1:5" x14ac:dyDescent="0.25">
      <c r="A462" s="1">
        <v>11</v>
      </c>
      <c r="B462" s="1" t="s">
        <v>17</v>
      </c>
      <c r="C462" s="1" t="s">
        <v>6</v>
      </c>
      <c r="D462" s="1">
        <v>552040</v>
      </c>
      <c r="E462" s="1">
        <v>104046</v>
      </c>
    </row>
    <row r="463" spans="1:5" x14ac:dyDescent="0.25">
      <c r="A463" s="1">
        <v>11</v>
      </c>
      <c r="B463" s="1" t="s">
        <v>17</v>
      </c>
      <c r="C463" s="1" t="s">
        <v>7</v>
      </c>
      <c r="D463" s="1">
        <v>42100</v>
      </c>
      <c r="E463" s="1">
        <v>11559</v>
      </c>
    </row>
    <row r="464" spans="1:5" x14ac:dyDescent="0.25">
      <c r="A464" s="1">
        <v>11</v>
      </c>
      <c r="B464" s="1" t="s">
        <v>17</v>
      </c>
      <c r="C464" s="1" t="s">
        <v>8</v>
      </c>
      <c r="D464" s="1">
        <v>435856</v>
      </c>
      <c r="E464" s="1">
        <v>364739</v>
      </c>
    </row>
    <row r="465" spans="1:5" x14ac:dyDescent="0.25">
      <c r="A465" s="1">
        <v>11</v>
      </c>
      <c r="B465" s="1" t="s">
        <v>17</v>
      </c>
      <c r="C465" s="1" t="s">
        <v>9</v>
      </c>
      <c r="D465" s="1">
        <v>269602</v>
      </c>
      <c r="E465" s="1">
        <v>128452</v>
      </c>
    </row>
    <row r="466" spans="1:5" x14ac:dyDescent="0.25">
      <c r="A466" s="1">
        <v>11</v>
      </c>
      <c r="B466" s="1" t="s">
        <v>17</v>
      </c>
      <c r="C466" s="1" t="s">
        <v>10</v>
      </c>
      <c r="D466" s="1">
        <v>71724</v>
      </c>
      <c r="E466" s="1">
        <v>63672</v>
      </c>
    </row>
    <row r="467" spans="1:5" x14ac:dyDescent="0.25">
      <c r="A467" s="1">
        <v>11</v>
      </c>
      <c r="B467" s="1" t="s">
        <v>17</v>
      </c>
      <c r="C467" s="1" t="s">
        <v>11</v>
      </c>
      <c r="D467" s="1">
        <v>42040</v>
      </c>
      <c r="E467" s="1">
        <v>9998</v>
      </c>
    </row>
    <row r="468" spans="1:5" x14ac:dyDescent="0.25">
      <c r="A468" s="1">
        <v>11</v>
      </c>
      <c r="B468" s="1" t="s">
        <v>17</v>
      </c>
      <c r="C468" s="1" t="s">
        <v>12</v>
      </c>
      <c r="D468" s="1">
        <v>22867</v>
      </c>
      <c r="E468" s="1">
        <v>6342</v>
      </c>
    </row>
    <row r="469" spans="1:5" x14ac:dyDescent="0.25">
      <c r="A469" s="1">
        <v>11</v>
      </c>
      <c r="B469" s="1" t="s">
        <v>17</v>
      </c>
      <c r="C469" s="1" t="s">
        <v>13</v>
      </c>
      <c r="D469" s="1">
        <v>269908</v>
      </c>
      <c r="E469" s="1">
        <v>158443</v>
      </c>
    </row>
    <row r="470" spans="1:5" x14ac:dyDescent="0.25">
      <c r="A470" s="1">
        <v>11</v>
      </c>
      <c r="B470" s="1" t="s">
        <v>17</v>
      </c>
      <c r="C470" s="1" t="s">
        <v>14</v>
      </c>
      <c r="D470" s="1">
        <v>71359</v>
      </c>
      <c r="E470" s="1">
        <v>5521</v>
      </c>
    </row>
    <row r="471" spans="1:5" x14ac:dyDescent="0.25">
      <c r="A471" s="1">
        <v>11</v>
      </c>
      <c r="B471" s="1" t="s">
        <v>17</v>
      </c>
      <c r="C471" s="1" t="s">
        <v>15</v>
      </c>
      <c r="D471" s="1">
        <v>58323</v>
      </c>
      <c r="E471" s="1">
        <v>40176</v>
      </c>
    </row>
    <row r="472" spans="1:5" x14ac:dyDescent="0.25">
      <c r="A472" s="1">
        <v>11</v>
      </c>
      <c r="B472" s="1" t="s">
        <v>18</v>
      </c>
      <c r="C472" s="1" t="s">
        <v>6</v>
      </c>
      <c r="D472" s="1">
        <v>551530</v>
      </c>
      <c r="E472" s="1">
        <v>36045</v>
      </c>
    </row>
    <row r="473" spans="1:5" x14ac:dyDescent="0.25">
      <c r="A473" s="1">
        <v>11</v>
      </c>
      <c r="B473" s="1" t="s">
        <v>18</v>
      </c>
      <c r="C473" s="1" t="s">
        <v>7</v>
      </c>
      <c r="D473" s="1">
        <v>42220</v>
      </c>
      <c r="E473" s="1">
        <v>4328</v>
      </c>
    </row>
    <row r="474" spans="1:5" x14ac:dyDescent="0.25">
      <c r="A474" s="1">
        <v>11</v>
      </c>
      <c r="B474" s="1" t="s">
        <v>18</v>
      </c>
      <c r="C474" s="1" t="s">
        <v>8</v>
      </c>
      <c r="D474" s="1">
        <v>435595</v>
      </c>
      <c r="E474" s="1">
        <v>265345</v>
      </c>
    </row>
    <row r="475" spans="1:5" x14ac:dyDescent="0.25">
      <c r="A475" s="1">
        <v>11</v>
      </c>
      <c r="B475" s="1" t="s">
        <v>18</v>
      </c>
      <c r="C475" s="1" t="s">
        <v>9</v>
      </c>
      <c r="D475" s="1">
        <v>269645</v>
      </c>
      <c r="E475" s="1">
        <v>57846</v>
      </c>
    </row>
    <row r="476" spans="1:5" x14ac:dyDescent="0.25">
      <c r="A476" s="1">
        <v>11</v>
      </c>
      <c r="B476" s="1" t="s">
        <v>18</v>
      </c>
      <c r="C476" s="1" t="s">
        <v>10</v>
      </c>
      <c r="D476" s="1">
        <v>71229</v>
      </c>
      <c r="E476" s="1">
        <v>50078</v>
      </c>
    </row>
    <row r="477" spans="1:5" x14ac:dyDescent="0.25">
      <c r="A477" s="1">
        <v>11</v>
      </c>
      <c r="B477" s="1" t="s">
        <v>18</v>
      </c>
      <c r="C477" s="1" t="s">
        <v>11</v>
      </c>
      <c r="D477" s="1">
        <v>42152</v>
      </c>
      <c r="E477" s="1">
        <v>3663</v>
      </c>
    </row>
    <row r="478" spans="1:5" x14ac:dyDescent="0.25">
      <c r="A478" s="1">
        <v>11</v>
      </c>
      <c r="B478" s="1" t="s">
        <v>18</v>
      </c>
      <c r="C478" s="1" t="s">
        <v>12</v>
      </c>
      <c r="D478" s="1">
        <v>22893</v>
      </c>
      <c r="E478" s="1">
        <v>2347</v>
      </c>
    </row>
    <row r="479" spans="1:5" x14ac:dyDescent="0.25">
      <c r="A479" s="1">
        <v>11</v>
      </c>
      <c r="B479" s="1" t="s">
        <v>18</v>
      </c>
      <c r="C479" s="1" t="s">
        <v>13</v>
      </c>
      <c r="D479" s="1">
        <v>270020</v>
      </c>
      <c r="E479" s="1">
        <v>80853</v>
      </c>
    </row>
    <row r="480" spans="1:5" x14ac:dyDescent="0.25">
      <c r="A480" s="1">
        <v>11</v>
      </c>
      <c r="B480" s="1" t="s">
        <v>18</v>
      </c>
      <c r="C480" s="1" t="s">
        <v>14</v>
      </c>
      <c r="D480" s="1">
        <v>72100</v>
      </c>
      <c r="E480" s="1">
        <v>1721</v>
      </c>
    </row>
    <row r="481" spans="1:5" x14ac:dyDescent="0.25">
      <c r="A481" s="1">
        <v>11</v>
      </c>
      <c r="B481" s="1" t="s">
        <v>18</v>
      </c>
      <c r="C481" s="1" t="s">
        <v>15</v>
      </c>
      <c r="D481" s="1">
        <v>57958</v>
      </c>
      <c r="E481" s="1">
        <v>23108</v>
      </c>
    </row>
    <row r="482" spans="1:5" x14ac:dyDescent="0.25">
      <c r="A482" s="1">
        <v>12</v>
      </c>
      <c r="B482" s="1" t="s">
        <v>5</v>
      </c>
      <c r="C482" s="1" t="s">
        <v>6</v>
      </c>
      <c r="D482" s="1">
        <v>1788586</v>
      </c>
      <c r="E482" s="1">
        <v>184905</v>
      </c>
    </row>
    <row r="483" spans="1:5" x14ac:dyDescent="0.25">
      <c r="A483" s="1">
        <v>12</v>
      </c>
      <c r="B483" s="1" t="s">
        <v>5</v>
      </c>
      <c r="C483" s="1" t="s">
        <v>7</v>
      </c>
      <c r="D483" s="1">
        <v>136831</v>
      </c>
      <c r="E483" s="1">
        <v>21612</v>
      </c>
    </row>
    <row r="484" spans="1:5" x14ac:dyDescent="0.25">
      <c r="A484" s="1">
        <v>12</v>
      </c>
      <c r="B484" s="1" t="s">
        <v>5</v>
      </c>
      <c r="C484" s="1" t="s">
        <v>8</v>
      </c>
      <c r="D484" s="1">
        <v>1407268</v>
      </c>
      <c r="E484" s="1">
        <v>1012629</v>
      </c>
    </row>
    <row r="485" spans="1:5" x14ac:dyDescent="0.25">
      <c r="A485" s="1">
        <v>12</v>
      </c>
      <c r="B485" s="1" t="s">
        <v>5</v>
      </c>
      <c r="C485" s="1" t="s">
        <v>9</v>
      </c>
      <c r="D485" s="1">
        <v>874029</v>
      </c>
      <c r="E485" s="1">
        <v>271817</v>
      </c>
    </row>
    <row r="486" spans="1:5" x14ac:dyDescent="0.25">
      <c r="A486" s="1">
        <v>12</v>
      </c>
      <c r="B486" s="1" t="s">
        <v>5</v>
      </c>
      <c r="C486" s="1" t="s">
        <v>10</v>
      </c>
      <c r="D486" s="1">
        <v>229172</v>
      </c>
      <c r="E486" s="1">
        <v>182361</v>
      </c>
    </row>
    <row r="487" spans="1:5" x14ac:dyDescent="0.25">
      <c r="A487" s="1">
        <v>12</v>
      </c>
      <c r="B487" s="1" t="s">
        <v>5</v>
      </c>
      <c r="C487" s="1" t="s">
        <v>11</v>
      </c>
      <c r="D487" s="1">
        <v>137077</v>
      </c>
      <c r="E487" s="1">
        <v>18319</v>
      </c>
    </row>
    <row r="488" spans="1:5" x14ac:dyDescent="0.25">
      <c r="A488" s="1">
        <v>12</v>
      </c>
      <c r="B488" s="1" t="s">
        <v>5</v>
      </c>
      <c r="C488" s="1" t="s">
        <v>12</v>
      </c>
      <c r="D488" s="1">
        <v>73253</v>
      </c>
      <c r="E488" s="1">
        <v>11878</v>
      </c>
    </row>
    <row r="489" spans="1:5" x14ac:dyDescent="0.25">
      <c r="A489" s="1">
        <v>12</v>
      </c>
      <c r="B489" s="1" t="s">
        <v>5</v>
      </c>
      <c r="C489" s="1" t="s">
        <v>13</v>
      </c>
      <c r="D489" s="1">
        <v>871439</v>
      </c>
      <c r="E489" s="1">
        <v>362115</v>
      </c>
    </row>
    <row r="490" spans="1:5" x14ac:dyDescent="0.25">
      <c r="A490" s="1">
        <v>12</v>
      </c>
      <c r="B490" s="1" t="s">
        <v>5</v>
      </c>
      <c r="C490" s="1" t="s">
        <v>14</v>
      </c>
      <c r="D490" s="1">
        <v>230089</v>
      </c>
      <c r="E490" s="1">
        <v>8959</v>
      </c>
    </row>
    <row r="491" spans="1:5" x14ac:dyDescent="0.25">
      <c r="A491" s="1">
        <v>12</v>
      </c>
      <c r="B491" s="1" t="s">
        <v>5</v>
      </c>
      <c r="C491" s="1" t="s">
        <v>15</v>
      </c>
      <c r="D491" s="1">
        <v>189849</v>
      </c>
      <c r="E491" s="1">
        <v>99040</v>
      </c>
    </row>
    <row r="492" spans="1:5" x14ac:dyDescent="0.25">
      <c r="A492" s="1">
        <v>12</v>
      </c>
      <c r="B492" s="1" t="s">
        <v>16</v>
      </c>
      <c r="C492" s="1" t="s">
        <v>6</v>
      </c>
      <c r="D492" s="1">
        <v>297522</v>
      </c>
      <c r="E492" s="1">
        <v>93869</v>
      </c>
    </row>
    <row r="493" spans="1:5" x14ac:dyDescent="0.25">
      <c r="A493" s="1">
        <v>12</v>
      </c>
      <c r="B493" s="1" t="s">
        <v>16</v>
      </c>
      <c r="C493" s="1" t="s">
        <v>7</v>
      </c>
      <c r="D493" s="1">
        <v>22808</v>
      </c>
      <c r="E493" s="1">
        <v>9659</v>
      </c>
    </row>
    <row r="494" spans="1:5" x14ac:dyDescent="0.25">
      <c r="A494" s="1">
        <v>12</v>
      </c>
      <c r="B494" s="1" t="s">
        <v>16</v>
      </c>
      <c r="C494" s="1" t="s">
        <v>8</v>
      </c>
      <c r="D494" s="1">
        <v>234377</v>
      </c>
      <c r="E494" s="1">
        <v>213321</v>
      </c>
    </row>
    <row r="495" spans="1:5" x14ac:dyDescent="0.25">
      <c r="A495" s="1">
        <v>12</v>
      </c>
      <c r="B495" s="1" t="s">
        <v>16</v>
      </c>
      <c r="C495" s="1" t="s">
        <v>9</v>
      </c>
      <c r="D495" s="1">
        <v>145180</v>
      </c>
      <c r="E495" s="1">
        <v>93512</v>
      </c>
    </row>
    <row r="496" spans="1:5" x14ac:dyDescent="0.25">
      <c r="A496" s="1">
        <v>12</v>
      </c>
      <c r="B496" s="1" t="s">
        <v>16</v>
      </c>
      <c r="C496" s="1" t="s">
        <v>10</v>
      </c>
      <c r="D496" s="1">
        <v>38651</v>
      </c>
      <c r="E496" s="1">
        <v>36283</v>
      </c>
    </row>
    <row r="497" spans="1:5" x14ac:dyDescent="0.25">
      <c r="A497" s="1">
        <v>12</v>
      </c>
      <c r="B497" s="1" t="s">
        <v>16</v>
      </c>
      <c r="C497" s="1" t="s">
        <v>11</v>
      </c>
      <c r="D497" s="1">
        <v>22808</v>
      </c>
      <c r="E497" s="1">
        <v>8643</v>
      </c>
    </row>
    <row r="498" spans="1:5" x14ac:dyDescent="0.25">
      <c r="A498" s="1">
        <v>12</v>
      </c>
      <c r="B498" s="1" t="s">
        <v>16</v>
      </c>
      <c r="C498" s="1" t="s">
        <v>12</v>
      </c>
      <c r="D498" s="1">
        <v>12164</v>
      </c>
      <c r="E498" s="1">
        <v>5140</v>
      </c>
    </row>
    <row r="499" spans="1:5" x14ac:dyDescent="0.25">
      <c r="A499" s="1">
        <v>12</v>
      </c>
      <c r="B499" s="1" t="s">
        <v>16</v>
      </c>
      <c r="C499" s="1" t="s">
        <v>13</v>
      </c>
      <c r="D499" s="1">
        <v>146230</v>
      </c>
      <c r="E499" s="1">
        <v>107997</v>
      </c>
    </row>
    <row r="500" spans="1:5" x14ac:dyDescent="0.25">
      <c r="A500" s="1">
        <v>12</v>
      </c>
      <c r="B500" s="1" t="s">
        <v>16</v>
      </c>
      <c r="C500" s="1" t="s">
        <v>14</v>
      </c>
      <c r="D500" s="1">
        <v>38573</v>
      </c>
      <c r="E500" s="1">
        <v>5302</v>
      </c>
    </row>
    <row r="501" spans="1:5" x14ac:dyDescent="0.25">
      <c r="A501" s="1">
        <v>12</v>
      </c>
      <c r="B501" s="1" t="s">
        <v>16</v>
      </c>
      <c r="C501" s="1" t="s">
        <v>15</v>
      </c>
      <c r="D501" s="1">
        <v>31676</v>
      </c>
      <c r="E501" s="1">
        <v>25703</v>
      </c>
    </row>
    <row r="502" spans="1:5" x14ac:dyDescent="0.25">
      <c r="A502" s="1">
        <v>12</v>
      </c>
      <c r="B502" s="1" t="s">
        <v>17</v>
      </c>
      <c r="C502" s="1" t="s">
        <v>6</v>
      </c>
      <c r="D502" s="1">
        <v>594926</v>
      </c>
      <c r="E502" s="1">
        <v>111491</v>
      </c>
    </row>
    <row r="503" spans="1:5" x14ac:dyDescent="0.25">
      <c r="A503" s="1">
        <v>12</v>
      </c>
      <c r="B503" s="1" t="s">
        <v>17</v>
      </c>
      <c r="C503" s="1" t="s">
        <v>7</v>
      </c>
      <c r="D503" s="1">
        <v>45692</v>
      </c>
      <c r="E503" s="1">
        <v>12485</v>
      </c>
    </row>
    <row r="504" spans="1:5" x14ac:dyDescent="0.25">
      <c r="A504" s="1">
        <v>12</v>
      </c>
      <c r="B504" s="1" t="s">
        <v>17</v>
      </c>
      <c r="C504" s="1" t="s">
        <v>8</v>
      </c>
      <c r="D504" s="1">
        <v>468324</v>
      </c>
      <c r="E504" s="1">
        <v>392084</v>
      </c>
    </row>
    <row r="505" spans="1:5" x14ac:dyDescent="0.25">
      <c r="A505" s="1">
        <v>12</v>
      </c>
      <c r="B505" s="1" t="s">
        <v>17</v>
      </c>
      <c r="C505" s="1" t="s">
        <v>9</v>
      </c>
      <c r="D505" s="1">
        <v>291319</v>
      </c>
      <c r="E505" s="1">
        <v>138437</v>
      </c>
    </row>
    <row r="506" spans="1:5" x14ac:dyDescent="0.25">
      <c r="A506" s="1">
        <v>12</v>
      </c>
      <c r="B506" s="1" t="s">
        <v>17</v>
      </c>
      <c r="C506" s="1" t="s">
        <v>10</v>
      </c>
      <c r="D506" s="1">
        <v>76679</v>
      </c>
      <c r="E506" s="1">
        <v>68002</v>
      </c>
    </row>
    <row r="507" spans="1:5" x14ac:dyDescent="0.25">
      <c r="A507" s="1">
        <v>12</v>
      </c>
      <c r="B507" s="1" t="s">
        <v>17</v>
      </c>
      <c r="C507" s="1" t="s">
        <v>11</v>
      </c>
      <c r="D507" s="1">
        <v>45472</v>
      </c>
      <c r="E507" s="1">
        <v>10806</v>
      </c>
    </row>
    <row r="508" spans="1:5" x14ac:dyDescent="0.25">
      <c r="A508" s="1">
        <v>12</v>
      </c>
      <c r="B508" s="1" t="s">
        <v>17</v>
      </c>
      <c r="C508" s="1" t="s">
        <v>12</v>
      </c>
      <c r="D508" s="1">
        <v>24476</v>
      </c>
      <c r="E508" s="1">
        <v>6725</v>
      </c>
    </row>
    <row r="509" spans="1:5" x14ac:dyDescent="0.25">
      <c r="A509" s="1">
        <v>12</v>
      </c>
      <c r="B509" s="1" t="s">
        <v>17</v>
      </c>
      <c r="C509" s="1" t="s">
        <v>13</v>
      </c>
      <c r="D509" s="1">
        <v>291697</v>
      </c>
      <c r="E509" s="1">
        <v>171465</v>
      </c>
    </row>
    <row r="510" spans="1:5" x14ac:dyDescent="0.25">
      <c r="A510" s="1">
        <v>12</v>
      </c>
      <c r="B510" s="1" t="s">
        <v>17</v>
      </c>
      <c r="C510" s="1" t="s">
        <v>14</v>
      </c>
      <c r="D510" s="1">
        <v>76398</v>
      </c>
      <c r="E510" s="1">
        <v>5645</v>
      </c>
    </row>
    <row r="511" spans="1:5" x14ac:dyDescent="0.25">
      <c r="A511" s="1">
        <v>12</v>
      </c>
      <c r="B511" s="1" t="s">
        <v>17</v>
      </c>
      <c r="C511" s="1" t="s">
        <v>15</v>
      </c>
      <c r="D511" s="1">
        <v>63047</v>
      </c>
      <c r="E511" s="1">
        <v>43335</v>
      </c>
    </row>
    <row r="512" spans="1:5" x14ac:dyDescent="0.25">
      <c r="A512" s="1">
        <v>12</v>
      </c>
      <c r="B512" s="1" t="s">
        <v>18</v>
      </c>
      <c r="C512" s="1" t="s">
        <v>6</v>
      </c>
      <c r="D512" s="1">
        <v>595428</v>
      </c>
      <c r="E512" s="1">
        <v>38143</v>
      </c>
    </row>
    <row r="513" spans="1:5" x14ac:dyDescent="0.25">
      <c r="A513" s="1">
        <v>12</v>
      </c>
      <c r="B513" s="1" t="s">
        <v>18</v>
      </c>
      <c r="C513" s="1" t="s">
        <v>7</v>
      </c>
      <c r="D513" s="1">
        <v>45338</v>
      </c>
      <c r="E513" s="1">
        <v>4687</v>
      </c>
    </row>
    <row r="514" spans="1:5" x14ac:dyDescent="0.25">
      <c r="A514" s="1">
        <v>12</v>
      </c>
      <c r="B514" s="1" t="s">
        <v>18</v>
      </c>
      <c r="C514" s="1" t="s">
        <v>8</v>
      </c>
      <c r="D514" s="1">
        <v>468643</v>
      </c>
      <c r="E514" s="1">
        <v>284538</v>
      </c>
    </row>
    <row r="515" spans="1:5" x14ac:dyDescent="0.25">
      <c r="A515" s="1">
        <v>12</v>
      </c>
      <c r="B515" s="1" t="s">
        <v>18</v>
      </c>
      <c r="C515" s="1" t="s">
        <v>9</v>
      </c>
      <c r="D515" s="1">
        <v>291131</v>
      </c>
      <c r="E515" s="1">
        <v>62088</v>
      </c>
    </row>
    <row r="516" spans="1:5" x14ac:dyDescent="0.25">
      <c r="A516" s="1">
        <v>12</v>
      </c>
      <c r="B516" s="1" t="s">
        <v>18</v>
      </c>
      <c r="C516" s="1" t="s">
        <v>10</v>
      </c>
      <c r="D516" s="1">
        <v>76675</v>
      </c>
      <c r="E516" s="1">
        <v>53782</v>
      </c>
    </row>
    <row r="517" spans="1:5" x14ac:dyDescent="0.25">
      <c r="A517" s="1">
        <v>12</v>
      </c>
      <c r="B517" s="1" t="s">
        <v>18</v>
      </c>
      <c r="C517" s="1" t="s">
        <v>11</v>
      </c>
      <c r="D517" s="1">
        <v>45993</v>
      </c>
      <c r="E517" s="1">
        <v>3878</v>
      </c>
    </row>
    <row r="518" spans="1:5" x14ac:dyDescent="0.25">
      <c r="A518" s="1">
        <v>12</v>
      </c>
      <c r="B518" s="1" t="s">
        <v>18</v>
      </c>
      <c r="C518" s="1" t="s">
        <v>12</v>
      </c>
      <c r="D518" s="1">
        <v>24342</v>
      </c>
      <c r="E518" s="1">
        <v>2520</v>
      </c>
    </row>
    <row r="519" spans="1:5" x14ac:dyDescent="0.25">
      <c r="A519" s="1">
        <v>12</v>
      </c>
      <c r="B519" s="1" t="s">
        <v>18</v>
      </c>
      <c r="C519" s="1" t="s">
        <v>13</v>
      </c>
      <c r="D519" s="1">
        <v>290222</v>
      </c>
      <c r="E519" s="1">
        <v>86714</v>
      </c>
    </row>
    <row r="520" spans="1:5" x14ac:dyDescent="0.25">
      <c r="A520" s="1">
        <v>12</v>
      </c>
      <c r="B520" s="1" t="s">
        <v>18</v>
      </c>
      <c r="C520" s="1" t="s">
        <v>14</v>
      </c>
      <c r="D520" s="1">
        <v>76438</v>
      </c>
      <c r="E520" s="1">
        <v>1739</v>
      </c>
    </row>
    <row r="521" spans="1:5" x14ac:dyDescent="0.25">
      <c r="A521" s="1">
        <v>12</v>
      </c>
      <c r="B521" s="1" t="s">
        <v>18</v>
      </c>
      <c r="C521" s="1" t="s">
        <v>15</v>
      </c>
      <c r="D521" s="1">
        <v>63150</v>
      </c>
      <c r="E521" s="1">
        <v>25360</v>
      </c>
    </row>
    <row r="522" spans="1:5" x14ac:dyDescent="0.25">
      <c r="A522" s="1">
        <v>13</v>
      </c>
      <c r="B522" s="1" t="s">
        <v>5</v>
      </c>
      <c r="C522" s="1" t="s">
        <v>6</v>
      </c>
      <c r="D522" s="1">
        <v>1924499</v>
      </c>
      <c r="E522" s="1">
        <v>197050</v>
      </c>
    </row>
    <row r="523" spans="1:5" x14ac:dyDescent="0.25">
      <c r="A523" s="1">
        <v>13</v>
      </c>
      <c r="B523" s="1" t="s">
        <v>5</v>
      </c>
      <c r="C523" s="1" t="s">
        <v>7</v>
      </c>
      <c r="D523" s="1">
        <v>147107</v>
      </c>
      <c r="E523" s="1">
        <v>23183</v>
      </c>
    </row>
    <row r="524" spans="1:5" x14ac:dyDescent="0.25">
      <c r="A524" s="1">
        <v>13</v>
      </c>
      <c r="B524" s="1" t="s">
        <v>5</v>
      </c>
      <c r="C524" s="1" t="s">
        <v>8</v>
      </c>
      <c r="D524" s="1">
        <v>1506435</v>
      </c>
      <c r="E524" s="1">
        <v>1082535</v>
      </c>
    </row>
    <row r="525" spans="1:5" x14ac:dyDescent="0.25">
      <c r="A525" s="1">
        <v>13</v>
      </c>
      <c r="B525" s="1" t="s">
        <v>5</v>
      </c>
      <c r="C525" s="1" t="s">
        <v>9</v>
      </c>
      <c r="D525" s="1">
        <v>936597</v>
      </c>
      <c r="E525" s="1">
        <v>288616</v>
      </c>
    </row>
    <row r="526" spans="1:5" x14ac:dyDescent="0.25">
      <c r="A526" s="1">
        <v>13</v>
      </c>
      <c r="B526" s="1" t="s">
        <v>5</v>
      </c>
      <c r="C526" s="1" t="s">
        <v>10</v>
      </c>
      <c r="D526" s="1">
        <v>244693</v>
      </c>
      <c r="E526" s="1">
        <v>194742</v>
      </c>
    </row>
    <row r="527" spans="1:5" x14ac:dyDescent="0.25">
      <c r="A527" s="1">
        <v>13</v>
      </c>
      <c r="B527" s="1" t="s">
        <v>5</v>
      </c>
      <c r="C527" s="1" t="s">
        <v>11</v>
      </c>
      <c r="D527" s="1">
        <v>148287</v>
      </c>
      <c r="E527" s="1">
        <v>20010</v>
      </c>
    </row>
    <row r="528" spans="1:5" x14ac:dyDescent="0.25">
      <c r="A528" s="1">
        <v>13</v>
      </c>
      <c r="B528" s="1" t="s">
        <v>5</v>
      </c>
      <c r="C528" s="1" t="s">
        <v>12</v>
      </c>
      <c r="D528" s="1">
        <v>77684</v>
      </c>
      <c r="E528" s="1">
        <v>12224</v>
      </c>
    </row>
    <row r="529" spans="1:5" x14ac:dyDescent="0.25">
      <c r="A529" s="1">
        <v>13</v>
      </c>
      <c r="B529" s="1" t="s">
        <v>5</v>
      </c>
      <c r="C529" s="1" t="s">
        <v>13</v>
      </c>
      <c r="D529" s="1">
        <v>938052</v>
      </c>
      <c r="E529" s="1">
        <v>389522</v>
      </c>
    </row>
    <row r="530" spans="1:5" x14ac:dyDescent="0.25">
      <c r="A530" s="1">
        <v>13</v>
      </c>
      <c r="B530" s="1" t="s">
        <v>5</v>
      </c>
      <c r="C530" s="1" t="s">
        <v>14</v>
      </c>
      <c r="D530" s="1">
        <v>245082</v>
      </c>
      <c r="E530" s="1">
        <v>9093</v>
      </c>
    </row>
    <row r="531" spans="1:5" x14ac:dyDescent="0.25">
      <c r="A531" s="1">
        <v>13</v>
      </c>
      <c r="B531" s="1" t="s">
        <v>5</v>
      </c>
      <c r="C531" s="1" t="s">
        <v>15</v>
      </c>
      <c r="D531" s="1">
        <v>204811</v>
      </c>
      <c r="E531" s="1">
        <v>106974</v>
      </c>
    </row>
    <row r="532" spans="1:5" x14ac:dyDescent="0.25">
      <c r="A532" s="1">
        <v>13</v>
      </c>
      <c r="B532" s="1" t="s">
        <v>16</v>
      </c>
      <c r="C532" s="1" t="s">
        <v>6</v>
      </c>
      <c r="D532" s="1">
        <v>320895</v>
      </c>
      <c r="E532" s="1">
        <v>100759</v>
      </c>
    </row>
    <row r="533" spans="1:5" x14ac:dyDescent="0.25">
      <c r="A533" s="1">
        <v>13</v>
      </c>
      <c r="B533" s="1" t="s">
        <v>16</v>
      </c>
      <c r="C533" s="1" t="s">
        <v>7</v>
      </c>
      <c r="D533" s="1">
        <v>24624</v>
      </c>
      <c r="E533" s="1">
        <v>10503</v>
      </c>
    </row>
    <row r="534" spans="1:5" x14ac:dyDescent="0.25">
      <c r="A534" s="1">
        <v>13</v>
      </c>
      <c r="B534" s="1" t="s">
        <v>16</v>
      </c>
      <c r="C534" s="1" t="s">
        <v>8</v>
      </c>
      <c r="D534" s="1">
        <v>250415</v>
      </c>
      <c r="E534" s="1">
        <v>228181</v>
      </c>
    </row>
    <row r="535" spans="1:5" x14ac:dyDescent="0.25">
      <c r="A535" s="1">
        <v>13</v>
      </c>
      <c r="B535" s="1" t="s">
        <v>16</v>
      </c>
      <c r="C535" s="1" t="s">
        <v>9</v>
      </c>
      <c r="D535" s="1">
        <v>156080</v>
      </c>
      <c r="E535" s="1">
        <v>100242</v>
      </c>
    </row>
    <row r="536" spans="1:5" x14ac:dyDescent="0.25">
      <c r="A536" s="1">
        <v>13</v>
      </c>
      <c r="B536" s="1" t="s">
        <v>16</v>
      </c>
      <c r="C536" s="1" t="s">
        <v>10</v>
      </c>
      <c r="D536" s="1">
        <v>40737</v>
      </c>
      <c r="E536" s="1">
        <v>38233</v>
      </c>
    </row>
    <row r="537" spans="1:5" x14ac:dyDescent="0.25">
      <c r="A537" s="1">
        <v>13</v>
      </c>
      <c r="B537" s="1" t="s">
        <v>16</v>
      </c>
      <c r="C537" s="1" t="s">
        <v>11</v>
      </c>
      <c r="D537" s="1">
        <v>24285</v>
      </c>
      <c r="E537" s="1">
        <v>9357</v>
      </c>
    </row>
    <row r="538" spans="1:5" x14ac:dyDescent="0.25">
      <c r="A538" s="1">
        <v>13</v>
      </c>
      <c r="B538" s="1" t="s">
        <v>16</v>
      </c>
      <c r="C538" s="1" t="s">
        <v>12</v>
      </c>
      <c r="D538" s="1">
        <v>13020</v>
      </c>
      <c r="E538" s="1">
        <v>5537</v>
      </c>
    </row>
    <row r="539" spans="1:5" x14ac:dyDescent="0.25">
      <c r="A539" s="1">
        <v>13</v>
      </c>
      <c r="B539" s="1" t="s">
        <v>16</v>
      </c>
      <c r="C539" s="1" t="s">
        <v>13</v>
      </c>
      <c r="D539" s="1">
        <v>155928</v>
      </c>
      <c r="E539" s="1">
        <v>115165</v>
      </c>
    </row>
    <row r="540" spans="1:5" x14ac:dyDescent="0.25">
      <c r="A540" s="1">
        <v>13</v>
      </c>
      <c r="B540" s="1" t="s">
        <v>16</v>
      </c>
      <c r="C540" s="1" t="s">
        <v>14</v>
      </c>
      <c r="D540" s="1">
        <v>40515</v>
      </c>
      <c r="E540" s="1">
        <v>5430</v>
      </c>
    </row>
    <row r="541" spans="1:5" x14ac:dyDescent="0.25">
      <c r="A541" s="1">
        <v>13</v>
      </c>
      <c r="B541" s="1" t="s">
        <v>16</v>
      </c>
      <c r="C541" s="1" t="s">
        <v>15</v>
      </c>
      <c r="D541" s="1">
        <v>34556</v>
      </c>
      <c r="E541" s="1">
        <v>28174</v>
      </c>
    </row>
    <row r="542" spans="1:5" x14ac:dyDescent="0.25">
      <c r="A542" s="1">
        <v>13</v>
      </c>
      <c r="B542" s="1" t="s">
        <v>17</v>
      </c>
      <c r="C542" s="1" t="s">
        <v>6</v>
      </c>
      <c r="D542" s="1">
        <v>642572</v>
      </c>
      <c r="E542" s="1">
        <v>119678</v>
      </c>
    </row>
    <row r="543" spans="1:5" x14ac:dyDescent="0.25">
      <c r="A543" s="1">
        <v>13</v>
      </c>
      <c r="B543" s="1" t="s">
        <v>17</v>
      </c>
      <c r="C543" s="1" t="s">
        <v>7</v>
      </c>
      <c r="D543" s="1">
        <v>49358</v>
      </c>
      <c r="E543" s="1">
        <v>13354</v>
      </c>
    </row>
    <row r="544" spans="1:5" x14ac:dyDescent="0.25">
      <c r="A544" s="1">
        <v>13</v>
      </c>
      <c r="B544" s="1" t="s">
        <v>17</v>
      </c>
      <c r="C544" s="1" t="s">
        <v>8</v>
      </c>
      <c r="D544" s="1">
        <v>500868</v>
      </c>
      <c r="E544" s="1">
        <v>418446</v>
      </c>
    </row>
    <row r="545" spans="1:5" x14ac:dyDescent="0.25">
      <c r="A545" s="1">
        <v>13</v>
      </c>
      <c r="B545" s="1" t="s">
        <v>17</v>
      </c>
      <c r="C545" s="1" t="s">
        <v>9</v>
      </c>
      <c r="D545" s="1">
        <v>312886</v>
      </c>
      <c r="E545" s="1">
        <v>147895</v>
      </c>
    </row>
    <row r="546" spans="1:5" x14ac:dyDescent="0.25">
      <c r="A546" s="1">
        <v>13</v>
      </c>
      <c r="B546" s="1" t="s">
        <v>17</v>
      </c>
      <c r="C546" s="1" t="s">
        <v>10</v>
      </c>
      <c r="D546" s="1">
        <v>80866</v>
      </c>
      <c r="E546" s="1">
        <v>71621</v>
      </c>
    </row>
    <row r="547" spans="1:5" x14ac:dyDescent="0.25">
      <c r="A547" s="1">
        <v>13</v>
      </c>
      <c r="B547" s="1" t="s">
        <v>17</v>
      </c>
      <c r="C547" s="1" t="s">
        <v>11</v>
      </c>
      <c r="D547" s="1">
        <v>48971</v>
      </c>
      <c r="E547" s="1">
        <v>11510</v>
      </c>
    </row>
    <row r="548" spans="1:5" x14ac:dyDescent="0.25">
      <c r="A548" s="1">
        <v>13</v>
      </c>
      <c r="B548" s="1" t="s">
        <v>17</v>
      </c>
      <c r="C548" s="1" t="s">
        <v>12</v>
      </c>
      <c r="D548" s="1">
        <v>25826</v>
      </c>
      <c r="E548" s="1">
        <v>6913</v>
      </c>
    </row>
    <row r="549" spans="1:5" x14ac:dyDescent="0.25">
      <c r="A549" s="1">
        <v>13</v>
      </c>
      <c r="B549" s="1" t="s">
        <v>17</v>
      </c>
      <c r="C549" s="1" t="s">
        <v>13</v>
      </c>
      <c r="D549" s="1">
        <v>312902</v>
      </c>
      <c r="E549" s="1">
        <v>183075</v>
      </c>
    </row>
    <row r="550" spans="1:5" x14ac:dyDescent="0.25">
      <c r="A550" s="1">
        <v>13</v>
      </c>
      <c r="B550" s="1" t="s">
        <v>17</v>
      </c>
      <c r="C550" s="1" t="s">
        <v>14</v>
      </c>
      <c r="D550" s="1">
        <v>81901</v>
      </c>
      <c r="E550" s="1">
        <v>5856</v>
      </c>
    </row>
    <row r="551" spans="1:5" x14ac:dyDescent="0.25">
      <c r="A551" s="1">
        <v>13</v>
      </c>
      <c r="B551" s="1" t="s">
        <v>17</v>
      </c>
      <c r="C551" s="1" t="s">
        <v>15</v>
      </c>
      <c r="D551" s="1">
        <v>68217</v>
      </c>
      <c r="E551" s="1">
        <v>46760</v>
      </c>
    </row>
    <row r="552" spans="1:5" x14ac:dyDescent="0.25">
      <c r="A552" s="1">
        <v>13</v>
      </c>
      <c r="B552" s="1" t="s">
        <v>18</v>
      </c>
      <c r="C552" s="1" t="s">
        <v>6</v>
      </c>
      <c r="D552" s="1">
        <v>642994</v>
      </c>
      <c r="E552" s="1">
        <v>40921</v>
      </c>
    </row>
    <row r="553" spans="1:5" x14ac:dyDescent="0.25">
      <c r="A553" s="1">
        <v>13</v>
      </c>
      <c r="B553" s="1" t="s">
        <v>18</v>
      </c>
      <c r="C553" s="1" t="s">
        <v>7</v>
      </c>
      <c r="D553" s="1">
        <v>48990</v>
      </c>
      <c r="E553" s="1">
        <v>4884</v>
      </c>
    </row>
    <row r="554" spans="1:5" x14ac:dyDescent="0.25">
      <c r="A554" s="1">
        <v>13</v>
      </c>
      <c r="B554" s="1" t="s">
        <v>18</v>
      </c>
      <c r="C554" s="1" t="s">
        <v>8</v>
      </c>
      <c r="D554" s="1">
        <v>501078</v>
      </c>
      <c r="E554" s="1">
        <v>302433</v>
      </c>
    </row>
    <row r="555" spans="1:5" x14ac:dyDescent="0.25">
      <c r="A555" s="1">
        <v>13</v>
      </c>
      <c r="B555" s="1" t="s">
        <v>18</v>
      </c>
      <c r="C555" s="1" t="s">
        <v>9</v>
      </c>
      <c r="D555" s="1">
        <v>312123</v>
      </c>
      <c r="E555" s="1">
        <v>65770</v>
      </c>
    </row>
    <row r="556" spans="1:5" x14ac:dyDescent="0.25">
      <c r="A556" s="1">
        <v>13</v>
      </c>
      <c r="B556" s="1" t="s">
        <v>18</v>
      </c>
      <c r="C556" s="1" t="s">
        <v>10</v>
      </c>
      <c r="D556" s="1">
        <v>81605</v>
      </c>
      <c r="E556" s="1">
        <v>57125</v>
      </c>
    </row>
    <row r="557" spans="1:5" x14ac:dyDescent="0.25">
      <c r="A557" s="1">
        <v>13</v>
      </c>
      <c r="B557" s="1" t="s">
        <v>18</v>
      </c>
      <c r="C557" s="1" t="s">
        <v>11</v>
      </c>
      <c r="D557" s="1">
        <v>49267</v>
      </c>
      <c r="E557" s="1">
        <v>4209</v>
      </c>
    </row>
    <row r="558" spans="1:5" x14ac:dyDescent="0.25">
      <c r="A558" s="1">
        <v>13</v>
      </c>
      <c r="B558" s="1" t="s">
        <v>18</v>
      </c>
      <c r="C558" s="1" t="s">
        <v>12</v>
      </c>
      <c r="D558" s="1">
        <v>25869</v>
      </c>
      <c r="E558" s="1">
        <v>2653</v>
      </c>
    </row>
    <row r="559" spans="1:5" x14ac:dyDescent="0.25">
      <c r="A559" s="1">
        <v>13</v>
      </c>
      <c r="B559" s="1" t="s">
        <v>18</v>
      </c>
      <c r="C559" s="1" t="s">
        <v>13</v>
      </c>
      <c r="D559" s="1">
        <v>312058</v>
      </c>
      <c r="E559" s="1">
        <v>92654</v>
      </c>
    </row>
    <row r="560" spans="1:5" x14ac:dyDescent="0.25">
      <c r="A560" s="1">
        <v>13</v>
      </c>
      <c r="B560" s="1" t="s">
        <v>18</v>
      </c>
      <c r="C560" s="1" t="s">
        <v>14</v>
      </c>
      <c r="D560" s="1">
        <v>81688</v>
      </c>
      <c r="E560" s="1">
        <v>1838</v>
      </c>
    </row>
    <row r="561" spans="1:5" x14ac:dyDescent="0.25">
      <c r="A561" s="1">
        <v>13</v>
      </c>
      <c r="B561" s="1" t="s">
        <v>18</v>
      </c>
      <c r="C561" s="1" t="s">
        <v>15</v>
      </c>
      <c r="D561" s="1">
        <v>68415</v>
      </c>
      <c r="E561" s="1">
        <v>27372</v>
      </c>
    </row>
    <row r="562" spans="1:5" x14ac:dyDescent="0.25">
      <c r="A562" s="1">
        <v>14</v>
      </c>
      <c r="B562" s="1" t="s">
        <v>5</v>
      </c>
      <c r="C562" s="1" t="s">
        <v>6</v>
      </c>
      <c r="D562" s="1">
        <v>2063897</v>
      </c>
      <c r="E562" s="1">
        <v>210826</v>
      </c>
    </row>
    <row r="563" spans="1:5" x14ac:dyDescent="0.25">
      <c r="A563" s="1">
        <v>14</v>
      </c>
      <c r="B563" s="1" t="s">
        <v>5</v>
      </c>
      <c r="C563" s="1" t="s">
        <v>7</v>
      </c>
      <c r="D563" s="1">
        <v>157486</v>
      </c>
      <c r="E563" s="1">
        <v>24675</v>
      </c>
    </row>
    <row r="564" spans="1:5" x14ac:dyDescent="0.25">
      <c r="A564" s="1">
        <v>14</v>
      </c>
      <c r="B564" s="1" t="s">
        <v>5</v>
      </c>
      <c r="C564" s="1" t="s">
        <v>8</v>
      </c>
      <c r="D564" s="1">
        <v>1604474</v>
      </c>
      <c r="E564" s="1">
        <v>1150346</v>
      </c>
    </row>
    <row r="565" spans="1:5" x14ac:dyDescent="0.25">
      <c r="A565" s="1">
        <v>14</v>
      </c>
      <c r="B565" s="1" t="s">
        <v>5</v>
      </c>
      <c r="C565" s="1" t="s">
        <v>9</v>
      </c>
      <c r="D565" s="1">
        <v>1002749</v>
      </c>
      <c r="E565" s="1">
        <v>308075</v>
      </c>
    </row>
    <row r="566" spans="1:5" x14ac:dyDescent="0.25">
      <c r="A566" s="1">
        <v>14</v>
      </c>
      <c r="B566" s="1" t="s">
        <v>5</v>
      </c>
      <c r="C566" s="1" t="s">
        <v>10</v>
      </c>
      <c r="D566" s="1">
        <v>259165</v>
      </c>
      <c r="E566" s="1">
        <v>205927</v>
      </c>
    </row>
    <row r="567" spans="1:5" x14ac:dyDescent="0.25">
      <c r="A567" s="1">
        <v>14</v>
      </c>
      <c r="B567" s="1" t="s">
        <v>5</v>
      </c>
      <c r="C567" s="1" t="s">
        <v>11</v>
      </c>
      <c r="D567" s="1">
        <v>158037</v>
      </c>
      <c r="E567" s="1">
        <v>21209</v>
      </c>
    </row>
    <row r="568" spans="1:5" x14ac:dyDescent="0.25">
      <c r="A568" s="1">
        <v>14</v>
      </c>
      <c r="B568" s="1" t="s">
        <v>5</v>
      </c>
      <c r="C568" s="1" t="s">
        <v>12</v>
      </c>
      <c r="D568" s="1">
        <v>81535</v>
      </c>
      <c r="E568" s="1">
        <v>12585</v>
      </c>
    </row>
    <row r="569" spans="1:5" x14ac:dyDescent="0.25">
      <c r="A569" s="1">
        <v>14</v>
      </c>
      <c r="B569" s="1" t="s">
        <v>5</v>
      </c>
      <c r="C569" s="1" t="s">
        <v>13</v>
      </c>
      <c r="D569" s="1">
        <v>1001962</v>
      </c>
      <c r="E569" s="1">
        <v>413821</v>
      </c>
    </row>
    <row r="570" spans="1:5" x14ac:dyDescent="0.25">
      <c r="A570" s="1">
        <v>14</v>
      </c>
      <c r="B570" s="1" t="s">
        <v>5</v>
      </c>
      <c r="C570" s="1" t="s">
        <v>14</v>
      </c>
      <c r="D570" s="1">
        <v>258338</v>
      </c>
      <c r="E570" s="1">
        <v>9373</v>
      </c>
    </row>
    <row r="571" spans="1:5" x14ac:dyDescent="0.25">
      <c r="A571" s="1">
        <v>14</v>
      </c>
      <c r="B571" s="1" t="s">
        <v>5</v>
      </c>
      <c r="C571" s="1" t="s">
        <v>15</v>
      </c>
      <c r="D571" s="1">
        <v>220911</v>
      </c>
      <c r="E571" s="1">
        <v>115504</v>
      </c>
    </row>
    <row r="572" spans="1:5" x14ac:dyDescent="0.25">
      <c r="A572" s="1">
        <v>14</v>
      </c>
      <c r="B572" s="1" t="s">
        <v>16</v>
      </c>
      <c r="C572" s="1" t="s">
        <v>6</v>
      </c>
      <c r="D572" s="1">
        <v>343301</v>
      </c>
      <c r="E572" s="1">
        <v>107037</v>
      </c>
    </row>
    <row r="573" spans="1:5" x14ac:dyDescent="0.25">
      <c r="A573" s="1">
        <v>14</v>
      </c>
      <c r="B573" s="1" t="s">
        <v>16</v>
      </c>
      <c r="C573" s="1" t="s">
        <v>7</v>
      </c>
      <c r="D573" s="1">
        <v>26262</v>
      </c>
      <c r="E573" s="1">
        <v>11162</v>
      </c>
    </row>
    <row r="574" spans="1:5" x14ac:dyDescent="0.25">
      <c r="A574" s="1">
        <v>14</v>
      </c>
      <c r="B574" s="1" t="s">
        <v>16</v>
      </c>
      <c r="C574" s="1" t="s">
        <v>8</v>
      </c>
      <c r="D574" s="1">
        <v>266282</v>
      </c>
      <c r="E574" s="1">
        <v>242218</v>
      </c>
    </row>
    <row r="575" spans="1:5" x14ac:dyDescent="0.25">
      <c r="A575" s="1">
        <v>14</v>
      </c>
      <c r="B575" s="1" t="s">
        <v>16</v>
      </c>
      <c r="C575" s="1" t="s">
        <v>9</v>
      </c>
      <c r="D575" s="1">
        <v>167075</v>
      </c>
      <c r="E575" s="1">
        <v>106890</v>
      </c>
    </row>
    <row r="576" spans="1:5" x14ac:dyDescent="0.25">
      <c r="A576" s="1">
        <v>14</v>
      </c>
      <c r="B576" s="1" t="s">
        <v>16</v>
      </c>
      <c r="C576" s="1" t="s">
        <v>10</v>
      </c>
      <c r="D576" s="1">
        <v>43377</v>
      </c>
      <c r="E576" s="1">
        <v>40692</v>
      </c>
    </row>
    <row r="577" spans="1:5" x14ac:dyDescent="0.25">
      <c r="A577" s="1">
        <v>14</v>
      </c>
      <c r="B577" s="1" t="s">
        <v>16</v>
      </c>
      <c r="C577" s="1" t="s">
        <v>11</v>
      </c>
      <c r="D577" s="1">
        <v>26495</v>
      </c>
      <c r="E577" s="1">
        <v>9983</v>
      </c>
    </row>
    <row r="578" spans="1:5" x14ac:dyDescent="0.25">
      <c r="A578" s="1">
        <v>14</v>
      </c>
      <c r="B578" s="1" t="s">
        <v>16</v>
      </c>
      <c r="C578" s="1" t="s">
        <v>12</v>
      </c>
      <c r="D578" s="1">
        <v>13573</v>
      </c>
      <c r="E578" s="1">
        <v>5862</v>
      </c>
    </row>
    <row r="579" spans="1:5" x14ac:dyDescent="0.25">
      <c r="A579" s="1">
        <v>14</v>
      </c>
      <c r="B579" s="1" t="s">
        <v>16</v>
      </c>
      <c r="C579" s="1" t="s">
        <v>13</v>
      </c>
      <c r="D579" s="1">
        <v>167233</v>
      </c>
      <c r="E579" s="1">
        <v>123599</v>
      </c>
    </row>
    <row r="580" spans="1:5" x14ac:dyDescent="0.25">
      <c r="A580" s="1">
        <v>14</v>
      </c>
      <c r="B580" s="1" t="s">
        <v>16</v>
      </c>
      <c r="C580" s="1" t="s">
        <v>14</v>
      </c>
      <c r="D580" s="1">
        <v>43109</v>
      </c>
      <c r="E580" s="1">
        <v>5632</v>
      </c>
    </row>
    <row r="581" spans="1:5" x14ac:dyDescent="0.25">
      <c r="A581" s="1">
        <v>14</v>
      </c>
      <c r="B581" s="1" t="s">
        <v>16</v>
      </c>
      <c r="C581" s="1" t="s">
        <v>15</v>
      </c>
      <c r="D581" s="1">
        <v>36454</v>
      </c>
      <c r="E581" s="1">
        <v>29656</v>
      </c>
    </row>
    <row r="582" spans="1:5" x14ac:dyDescent="0.25">
      <c r="A582" s="1">
        <v>14</v>
      </c>
      <c r="B582" s="1" t="s">
        <v>17</v>
      </c>
      <c r="C582" s="1" t="s">
        <v>6</v>
      </c>
      <c r="D582" s="1">
        <v>687491</v>
      </c>
      <c r="E582" s="1">
        <v>126969</v>
      </c>
    </row>
    <row r="583" spans="1:5" x14ac:dyDescent="0.25">
      <c r="A583" s="1">
        <v>14</v>
      </c>
      <c r="B583" s="1" t="s">
        <v>17</v>
      </c>
      <c r="C583" s="1" t="s">
        <v>7</v>
      </c>
      <c r="D583" s="1">
        <v>52906</v>
      </c>
      <c r="E583" s="1">
        <v>14399</v>
      </c>
    </row>
    <row r="584" spans="1:5" x14ac:dyDescent="0.25">
      <c r="A584" s="1">
        <v>14</v>
      </c>
      <c r="B584" s="1" t="s">
        <v>17</v>
      </c>
      <c r="C584" s="1" t="s">
        <v>8</v>
      </c>
      <c r="D584" s="1">
        <v>534542</v>
      </c>
      <c r="E584" s="1">
        <v>446374</v>
      </c>
    </row>
    <row r="585" spans="1:5" x14ac:dyDescent="0.25">
      <c r="A585" s="1">
        <v>14</v>
      </c>
      <c r="B585" s="1" t="s">
        <v>17</v>
      </c>
      <c r="C585" s="1" t="s">
        <v>9</v>
      </c>
      <c r="D585" s="1">
        <v>335006</v>
      </c>
      <c r="E585" s="1">
        <v>157138</v>
      </c>
    </row>
    <row r="586" spans="1:5" x14ac:dyDescent="0.25">
      <c r="A586" s="1">
        <v>14</v>
      </c>
      <c r="B586" s="1" t="s">
        <v>17</v>
      </c>
      <c r="C586" s="1" t="s">
        <v>10</v>
      </c>
      <c r="D586" s="1">
        <v>86617</v>
      </c>
      <c r="E586" s="1">
        <v>76595</v>
      </c>
    </row>
    <row r="587" spans="1:5" x14ac:dyDescent="0.25">
      <c r="A587" s="1">
        <v>14</v>
      </c>
      <c r="B587" s="1" t="s">
        <v>17</v>
      </c>
      <c r="C587" s="1" t="s">
        <v>11</v>
      </c>
      <c r="D587" s="1">
        <v>52769</v>
      </c>
      <c r="E587" s="1">
        <v>12256</v>
      </c>
    </row>
    <row r="588" spans="1:5" x14ac:dyDescent="0.25">
      <c r="A588" s="1">
        <v>14</v>
      </c>
      <c r="B588" s="1" t="s">
        <v>17</v>
      </c>
      <c r="C588" s="1" t="s">
        <v>12</v>
      </c>
      <c r="D588" s="1">
        <v>27268</v>
      </c>
      <c r="E588" s="1">
        <v>7392</v>
      </c>
    </row>
    <row r="589" spans="1:5" x14ac:dyDescent="0.25">
      <c r="A589" s="1">
        <v>14</v>
      </c>
      <c r="B589" s="1" t="s">
        <v>17</v>
      </c>
      <c r="C589" s="1" t="s">
        <v>13</v>
      </c>
      <c r="D589" s="1">
        <v>334299</v>
      </c>
      <c r="E589" s="1">
        <v>195979</v>
      </c>
    </row>
    <row r="590" spans="1:5" x14ac:dyDescent="0.25">
      <c r="A590" s="1">
        <v>14</v>
      </c>
      <c r="B590" s="1" t="s">
        <v>17</v>
      </c>
      <c r="C590" s="1" t="s">
        <v>14</v>
      </c>
      <c r="D590" s="1">
        <v>86216</v>
      </c>
      <c r="E590" s="1">
        <v>6018</v>
      </c>
    </row>
    <row r="591" spans="1:5" x14ac:dyDescent="0.25">
      <c r="A591" s="1">
        <v>14</v>
      </c>
      <c r="B591" s="1" t="s">
        <v>17</v>
      </c>
      <c r="C591" s="1" t="s">
        <v>15</v>
      </c>
      <c r="D591" s="1">
        <v>73470</v>
      </c>
      <c r="E591" s="1">
        <v>50276</v>
      </c>
    </row>
    <row r="592" spans="1:5" x14ac:dyDescent="0.25">
      <c r="A592" s="1">
        <v>14</v>
      </c>
      <c r="B592" s="1" t="s">
        <v>18</v>
      </c>
      <c r="C592" s="1" t="s">
        <v>6</v>
      </c>
      <c r="D592" s="1">
        <v>687345</v>
      </c>
      <c r="E592" s="1">
        <v>44054</v>
      </c>
    </row>
    <row r="593" spans="1:5" x14ac:dyDescent="0.25">
      <c r="A593" s="1">
        <v>14</v>
      </c>
      <c r="B593" s="1" t="s">
        <v>18</v>
      </c>
      <c r="C593" s="1" t="s">
        <v>7</v>
      </c>
      <c r="D593" s="1">
        <v>52886</v>
      </c>
      <c r="E593" s="1">
        <v>5248</v>
      </c>
    </row>
    <row r="594" spans="1:5" x14ac:dyDescent="0.25">
      <c r="A594" s="1">
        <v>14</v>
      </c>
      <c r="B594" s="1" t="s">
        <v>18</v>
      </c>
      <c r="C594" s="1" t="s">
        <v>8</v>
      </c>
      <c r="D594" s="1">
        <v>534271</v>
      </c>
      <c r="E594" s="1">
        <v>322099</v>
      </c>
    </row>
    <row r="595" spans="1:5" x14ac:dyDescent="0.25">
      <c r="A595" s="1">
        <v>14</v>
      </c>
      <c r="B595" s="1" t="s">
        <v>18</v>
      </c>
      <c r="C595" s="1" t="s">
        <v>9</v>
      </c>
      <c r="D595" s="1">
        <v>334067</v>
      </c>
      <c r="E595" s="1">
        <v>69987</v>
      </c>
    </row>
    <row r="596" spans="1:5" x14ac:dyDescent="0.25">
      <c r="A596" s="1">
        <v>14</v>
      </c>
      <c r="B596" s="1" t="s">
        <v>18</v>
      </c>
      <c r="C596" s="1" t="s">
        <v>10</v>
      </c>
      <c r="D596" s="1">
        <v>86389</v>
      </c>
      <c r="E596" s="1">
        <v>60359</v>
      </c>
    </row>
    <row r="597" spans="1:5" x14ac:dyDescent="0.25">
      <c r="A597" s="1">
        <v>14</v>
      </c>
      <c r="B597" s="1" t="s">
        <v>18</v>
      </c>
      <c r="C597" s="1" t="s">
        <v>11</v>
      </c>
      <c r="D597" s="1">
        <v>52634</v>
      </c>
      <c r="E597" s="1">
        <v>4431</v>
      </c>
    </row>
    <row r="598" spans="1:5" x14ac:dyDescent="0.25">
      <c r="A598" s="1">
        <v>14</v>
      </c>
      <c r="B598" s="1" t="s">
        <v>18</v>
      </c>
      <c r="C598" s="1" t="s">
        <v>12</v>
      </c>
      <c r="D598" s="1">
        <v>27034</v>
      </c>
      <c r="E598" s="1">
        <v>2651</v>
      </c>
    </row>
    <row r="599" spans="1:5" x14ac:dyDescent="0.25">
      <c r="A599" s="1">
        <v>14</v>
      </c>
      <c r="B599" s="1" t="s">
        <v>18</v>
      </c>
      <c r="C599" s="1" t="s">
        <v>13</v>
      </c>
      <c r="D599" s="1">
        <v>334724</v>
      </c>
      <c r="E599" s="1">
        <v>99415</v>
      </c>
    </row>
    <row r="600" spans="1:5" x14ac:dyDescent="0.25">
      <c r="A600" s="1">
        <v>14</v>
      </c>
      <c r="B600" s="1" t="s">
        <v>18</v>
      </c>
      <c r="C600" s="1" t="s">
        <v>14</v>
      </c>
      <c r="D600" s="1">
        <v>85949</v>
      </c>
      <c r="E600" s="1">
        <v>1858</v>
      </c>
    </row>
    <row r="601" spans="1:5" x14ac:dyDescent="0.25">
      <c r="A601" s="1">
        <v>14</v>
      </c>
      <c r="B601" s="1" t="s">
        <v>18</v>
      </c>
      <c r="C601" s="1" t="s">
        <v>15</v>
      </c>
      <c r="D601" s="1">
        <v>73517</v>
      </c>
      <c r="E601" s="1">
        <v>29065</v>
      </c>
    </row>
    <row r="602" spans="1:5" x14ac:dyDescent="0.25">
      <c r="A602" s="1">
        <v>15</v>
      </c>
      <c r="B602" s="1" t="s">
        <v>5</v>
      </c>
      <c r="C602" s="1" t="s">
        <v>6</v>
      </c>
      <c r="D602" s="1">
        <v>2203899</v>
      </c>
      <c r="E602" s="1">
        <v>223491</v>
      </c>
    </row>
    <row r="603" spans="1:5" x14ac:dyDescent="0.25">
      <c r="A603" s="1">
        <v>15</v>
      </c>
      <c r="B603" s="1" t="s">
        <v>5</v>
      </c>
      <c r="C603" s="1" t="s">
        <v>7</v>
      </c>
      <c r="D603" s="1">
        <v>169744</v>
      </c>
      <c r="E603" s="1">
        <v>26301</v>
      </c>
    </row>
    <row r="604" spans="1:5" x14ac:dyDescent="0.25">
      <c r="A604" s="1">
        <v>15</v>
      </c>
      <c r="B604" s="1" t="s">
        <v>5</v>
      </c>
      <c r="C604" s="1" t="s">
        <v>8</v>
      </c>
      <c r="D604" s="1">
        <v>1699683</v>
      </c>
      <c r="E604" s="1">
        <v>1215511</v>
      </c>
    </row>
    <row r="605" spans="1:5" x14ac:dyDescent="0.25">
      <c r="A605" s="1">
        <v>15</v>
      </c>
      <c r="B605" s="1" t="s">
        <v>5</v>
      </c>
      <c r="C605" s="1" t="s">
        <v>9</v>
      </c>
      <c r="D605" s="1">
        <v>1070089</v>
      </c>
      <c r="E605" s="1">
        <v>327246</v>
      </c>
    </row>
    <row r="606" spans="1:5" x14ac:dyDescent="0.25">
      <c r="A606" s="1">
        <v>15</v>
      </c>
      <c r="B606" s="1" t="s">
        <v>5</v>
      </c>
      <c r="C606" s="1" t="s">
        <v>10</v>
      </c>
      <c r="D606" s="1">
        <v>273202</v>
      </c>
      <c r="E606" s="1">
        <v>216457</v>
      </c>
    </row>
    <row r="607" spans="1:5" x14ac:dyDescent="0.25">
      <c r="A607" s="1">
        <v>15</v>
      </c>
      <c r="B607" s="1" t="s">
        <v>5</v>
      </c>
      <c r="C607" s="1" t="s">
        <v>11</v>
      </c>
      <c r="D607" s="1">
        <v>169529</v>
      </c>
      <c r="E607" s="1">
        <v>22002</v>
      </c>
    </row>
    <row r="608" spans="1:5" x14ac:dyDescent="0.25">
      <c r="A608" s="1">
        <v>15</v>
      </c>
      <c r="B608" s="1" t="s">
        <v>5</v>
      </c>
      <c r="C608" s="1" t="s">
        <v>12</v>
      </c>
      <c r="D608" s="1">
        <v>85790</v>
      </c>
      <c r="E608" s="1">
        <v>13373</v>
      </c>
    </row>
    <row r="609" spans="1:5" x14ac:dyDescent="0.25">
      <c r="A609" s="1">
        <v>15</v>
      </c>
      <c r="B609" s="1" t="s">
        <v>5</v>
      </c>
      <c r="C609" s="1" t="s">
        <v>13</v>
      </c>
      <c r="D609" s="1">
        <v>1068072</v>
      </c>
      <c r="E609" s="1">
        <v>439990</v>
      </c>
    </row>
    <row r="610" spans="1:5" x14ac:dyDescent="0.25">
      <c r="A610" s="1">
        <v>15</v>
      </c>
      <c r="B610" s="1" t="s">
        <v>5</v>
      </c>
      <c r="C610" s="1" t="s">
        <v>14</v>
      </c>
      <c r="D610" s="1">
        <v>273582</v>
      </c>
      <c r="E610" s="1">
        <v>9653</v>
      </c>
    </row>
    <row r="611" spans="1:5" x14ac:dyDescent="0.25">
      <c r="A611" s="1">
        <v>15</v>
      </c>
      <c r="B611" s="1" t="s">
        <v>5</v>
      </c>
      <c r="C611" s="1" t="s">
        <v>15</v>
      </c>
      <c r="D611" s="1">
        <v>236599</v>
      </c>
      <c r="E611" s="1">
        <v>123213</v>
      </c>
    </row>
    <row r="612" spans="1:5" x14ac:dyDescent="0.25">
      <c r="A612" s="1">
        <v>15</v>
      </c>
      <c r="B612" s="1" t="s">
        <v>16</v>
      </c>
      <c r="C612" s="1" t="s">
        <v>6</v>
      </c>
      <c r="D612" s="1">
        <v>368011</v>
      </c>
      <c r="E612" s="1">
        <v>114499</v>
      </c>
    </row>
    <row r="613" spans="1:5" x14ac:dyDescent="0.25">
      <c r="A613" s="1">
        <v>15</v>
      </c>
      <c r="B613" s="1" t="s">
        <v>16</v>
      </c>
      <c r="C613" s="1" t="s">
        <v>7</v>
      </c>
      <c r="D613" s="1">
        <v>28178</v>
      </c>
      <c r="E613" s="1">
        <v>11869</v>
      </c>
    </row>
    <row r="614" spans="1:5" x14ac:dyDescent="0.25">
      <c r="A614" s="1">
        <v>15</v>
      </c>
      <c r="B614" s="1" t="s">
        <v>16</v>
      </c>
      <c r="C614" s="1" t="s">
        <v>8</v>
      </c>
      <c r="D614" s="1">
        <v>284210</v>
      </c>
      <c r="E614" s="1">
        <v>258567</v>
      </c>
    </row>
    <row r="615" spans="1:5" x14ac:dyDescent="0.25">
      <c r="A615" s="1">
        <v>15</v>
      </c>
      <c r="B615" s="1" t="s">
        <v>16</v>
      </c>
      <c r="C615" s="1" t="s">
        <v>9</v>
      </c>
      <c r="D615" s="1">
        <v>177915</v>
      </c>
      <c r="E615" s="1">
        <v>113386</v>
      </c>
    </row>
    <row r="616" spans="1:5" x14ac:dyDescent="0.25">
      <c r="A616" s="1">
        <v>15</v>
      </c>
      <c r="B616" s="1" t="s">
        <v>16</v>
      </c>
      <c r="C616" s="1" t="s">
        <v>10</v>
      </c>
      <c r="D616" s="1">
        <v>45450</v>
      </c>
      <c r="E616" s="1">
        <v>42682</v>
      </c>
    </row>
    <row r="617" spans="1:5" x14ac:dyDescent="0.25">
      <c r="A617" s="1">
        <v>15</v>
      </c>
      <c r="B617" s="1" t="s">
        <v>16</v>
      </c>
      <c r="C617" s="1" t="s">
        <v>11</v>
      </c>
      <c r="D617" s="1">
        <v>28436</v>
      </c>
      <c r="E617" s="1">
        <v>10581</v>
      </c>
    </row>
    <row r="618" spans="1:5" x14ac:dyDescent="0.25">
      <c r="A618" s="1">
        <v>15</v>
      </c>
      <c r="B618" s="1" t="s">
        <v>16</v>
      </c>
      <c r="C618" s="1" t="s">
        <v>12</v>
      </c>
      <c r="D618" s="1">
        <v>14150</v>
      </c>
      <c r="E618" s="1">
        <v>5910</v>
      </c>
    </row>
    <row r="619" spans="1:5" x14ac:dyDescent="0.25">
      <c r="A619" s="1">
        <v>15</v>
      </c>
      <c r="B619" s="1" t="s">
        <v>16</v>
      </c>
      <c r="C619" s="1" t="s">
        <v>13</v>
      </c>
      <c r="D619" s="1">
        <v>178829</v>
      </c>
      <c r="E619" s="1">
        <v>132056</v>
      </c>
    </row>
    <row r="620" spans="1:5" x14ac:dyDescent="0.25">
      <c r="A620" s="1">
        <v>15</v>
      </c>
      <c r="B620" s="1" t="s">
        <v>16</v>
      </c>
      <c r="C620" s="1" t="s">
        <v>14</v>
      </c>
      <c r="D620" s="1">
        <v>45583</v>
      </c>
      <c r="E620" s="1">
        <v>5840</v>
      </c>
    </row>
    <row r="621" spans="1:5" x14ac:dyDescent="0.25">
      <c r="A621" s="1">
        <v>15</v>
      </c>
      <c r="B621" s="1" t="s">
        <v>16</v>
      </c>
      <c r="C621" s="1" t="s">
        <v>15</v>
      </c>
      <c r="D621" s="1">
        <v>39286</v>
      </c>
      <c r="E621" s="1">
        <v>31843</v>
      </c>
    </row>
    <row r="622" spans="1:5" x14ac:dyDescent="0.25">
      <c r="A622" s="1">
        <v>15</v>
      </c>
      <c r="B622" s="1" t="s">
        <v>17</v>
      </c>
      <c r="C622" s="1" t="s">
        <v>6</v>
      </c>
      <c r="D622" s="1">
        <v>732415</v>
      </c>
      <c r="E622" s="1">
        <v>134507</v>
      </c>
    </row>
    <row r="623" spans="1:5" x14ac:dyDescent="0.25">
      <c r="A623" s="1">
        <v>15</v>
      </c>
      <c r="B623" s="1" t="s">
        <v>17</v>
      </c>
      <c r="C623" s="1" t="s">
        <v>7</v>
      </c>
      <c r="D623" s="1">
        <v>56833</v>
      </c>
      <c r="E623" s="1">
        <v>15073</v>
      </c>
    </row>
    <row r="624" spans="1:5" x14ac:dyDescent="0.25">
      <c r="A624" s="1">
        <v>15</v>
      </c>
      <c r="B624" s="1" t="s">
        <v>17</v>
      </c>
      <c r="C624" s="1" t="s">
        <v>8</v>
      </c>
      <c r="D624" s="1">
        <v>566715</v>
      </c>
      <c r="E624" s="1">
        <v>472493</v>
      </c>
    </row>
    <row r="625" spans="1:5" x14ac:dyDescent="0.25">
      <c r="A625" s="1">
        <v>15</v>
      </c>
      <c r="B625" s="1" t="s">
        <v>17</v>
      </c>
      <c r="C625" s="1" t="s">
        <v>9</v>
      </c>
      <c r="D625" s="1">
        <v>355434</v>
      </c>
      <c r="E625" s="1">
        <v>166315</v>
      </c>
    </row>
    <row r="626" spans="1:5" x14ac:dyDescent="0.25">
      <c r="A626" s="1">
        <v>15</v>
      </c>
      <c r="B626" s="1" t="s">
        <v>17</v>
      </c>
      <c r="C626" s="1" t="s">
        <v>10</v>
      </c>
      <c r="D626" s="1">
        <v>91133</v>
      </c>
      <c r="E626" s="1">
        <v>80671</v>
      </c>
    </row>
    <row r="627" spans="1:5" x14ac:dyDescent="0.25">
      <c r="A627" s="1">
        <v>15</v>
      </c>
      <c r="B627" s="1" t="s">
        <v>17</v>
      </c>
      <c r="C627" s="1" t="s">
        <v>11</v>
      </c>
      <c r="D627" s="1">
        <v>56224</v>
      </c>
      <c r="E627" s="1">
        <v>13129</v>
      </c>
    </row>
    <row r="628" spans="1:5" x14ac:dyDescent="0.25">
      <c r="A628" s="1">
        <v>15</v>
      </c>
      <c r="B628" s="1" t="s">
        <v>17</v>
      </c>
      <c r="C628" s="1" t="s">
        <v>12</v>
      </c>
      <c r="D628" s="1">
        <v>28427</v>
      </c>
      <c r="E628" s="1">
        <v>7543</v>
      </c>
    </row>
    <row r="629" spans="1:5" x14ac:dyDescent="0.25">
      <c r="A629" s="1">
        <v>15</v>
      </c>
      <c r="B629" s="1" t="s">
        <v>17</v>
      </c>
      <c r="C629" s="1" t="s">
        <v>13</v>
      </c>
      <c r="D629" s="1">
        <v>355344</v>
      </c>
      <c r="E629" s="1">
        <v>208310</v>
      </c>
    </row>
    <row r="630" spans="1:5" x14ac:dyDescent="0.25">
      <c r="A630" s="1">
        <v>15</v>
      </c>
      <c r="B630" s="1" t="s">
        <v>17</v>
      </c>
      <c r="C630" s="1" t="s">
        <v>14</v>
      </c>
      <c r="D630" s="1">
        <v>90897</v>
      </c>
      <c r="E630" s="1">
        <v>6129</v>
      </c>
    </row>
    <row r="631" spans="1:5" x14ac:dyDescent="0.25">
      <c r="A631" s="1">
        <v>15</v>
      </c>
      <c r="B631" s="1" t="s">
        <v>17</v>
      </c>
      <c r="C631" s="1" t="s">
        <v>15</v>
      </c>
      <c r="D631" s="1">
        <v>78692</v>
      </c>
      <c r="E631" s="1">
        <v>53819</v>
      </c>
    </row>
    <row r="632" spans="1:5" x14ac:dyDescent="0.25">
      <c r="A632" s="1">
        <v>15</v>
      </c>
      <c r="B632" s="1" t="s">
        <v>18</v>
      </c>
      <c r="C632" s="1" t="s">
        <v>6</v>
      </c>
      <c r="D632" s="1">
        <v>734870</v>
      </c>
      <c r="E632" s="1">
        <v>46488</v>
      </c>
    </row>
    <row r="633" spans="1:5" x14ac:dyDescent="0.25">
      <c r="A633" s="1">
        <v>15</v>
      </c>
      <c r="B633" s="1" t="s">
        <v>18</v>
      </c>
      <c r="C633" s="1" t="s">
        <v>7</v>
      </c>
      <c r="D633" s="1">
        <v>56539</v>
      </c>
      <c r="E633" s="1">
        <v>5568</v>
      </c>
    </row>
    <row r="634" spans="1:5" x14ac:dyDescent="0.25">
      <c r="A634" s="1">
        <v>15</v>
      </c>
      <c r="B634" s="1" t="s">
        <v>18</v>
      </c>
      <c r="C634" s="1" t="s">
        <v>8</v>
      </c>
      <c r="D634" s="1">
        <v>567210</v>
      </c>
      <c r="E634" s="1">
        <v>340680</v>
      </c>
    </row>
    <row r="635" spans="1:5" x14ac:dyDescent="0.25">
      <c r="A635" s="1">
        <v>15</v>
      </c>
      <c r="B635" s="1" t="s">
        <v>18</v>
      </c>
      <c r="C635" s="1" t="s">
        <v>9</v>
      </c>
      <c r="D635" s="1">
        <v>356508</v>
      </c>
      <c r="E635" s="1">
        <v>74398</v>
      </c>
    </row>
    <row r="636" spans="1:5" x14ac:dyDescent="0.25">
      <c r="A636" s="1">
        <v>15</v>
      </c>
      <c r="B636" s="1" t="s">
        <v>18</v>
      </c>
      <c r="C636" s="1" t="s">
        <v>10</v>
      </c>
      <c r="D636" s="1">
        <v>91130</v>
      </c>
      <c r="E636" s="1">
        <v>63082</v>
      </c>
    </row>
    <row r="637" spans="1:5" x14ac:dyDescent="0.25">
      <c r="A637" s="1">
        <v>15</v>
      </c>
      <c r="B637" s="1" t="s">
        <v>18</v>
      </c>
      <c r="C637" s="1" t="s">
        <v>11</v>
      </c>
      <c r="D637" s="1">
        <v>56416</v>
      </c>
      <c r="E637" s="1">
        <v>4684</v>
      </c>
    </row>
    <row r="638" spans="1:5" x14ac:dyDescent="0.25">
      <c r="A638" s="1">
        <v>15</v>
      </c>
      <c r="B638" s="1" t="s">
        <v>18</v>
      </c>
      <c r="C638" s="1" t="s">
        <v>12</v>
      </c>
      <c r="D638" s="1">
        <v>28690</v>
      </c>
      <c r="E638" s="1">
        <v>2775</v>
      </c>
    </row>
    <row r="639" spans="1:5" x14ac:dyDescent="0.25">
      <c r="A639" s="1">
        <v>15</v>
      </c>
      <c r="B639" s="1" t="s">
        <v>18</v>
      </c>
      <c r="C639" s="1" t="s">
        <v>13</v>
      </c>
      <c r="D639" s="1">
        <v>355628</v>
      </c>
      <c r="E639" s="1">
        <v>105304</v>
      </c>
    </row>
    <row r="640" spans="1:5" x14ac:dyDescent="0.25">
      <c r="A640" s="1">
        <v>15</v>
      </c>
      <c r="B640" s="1" t="s">
        <v>18</v>
      </c>
      <c r="C640" s="1" t="s">
        <v>14</v>
      </c>
      <c r="D640" s="1">
        <v>90905</v>
      </c>
      <c r="E640" s="1">
        <v>1931</v>
      </c>
    </row>
    <row r="641" spans="1:5" x14ac:dyDescent="0.25">
      <c r="A641" s="1">
        <v>15</v>
      </c>
      <c r="B641" s="1" t="s">
        <v>18</v>
      </c>
      <c r="C641" s="1" t="s">
        <v>15</v>
      </c>
      <c r="D641" s="1">
        <v>78460</v>
      </c>
      <c r="E641" s="1">
        <v>30903</v>
      </c>
    </row>
    <row r="642" spans="1:5" x14ac:dyDescent="0.25">
      <c r="A642" s="1">
        <v>16</v>
      </c>
      <c r="B642" s="1" t="s">
        <v>5</v>
      </c>
      <c r="C642" s="1" t="s">
        <v>6</v>
      </c>
      <c r="D642" s="1">
        <v>2340561</v>
      </c>
      <c r="E642" s="1">
        <v>235715</v>
      </c>
    </row>
    <row r="643" spans="1:5" x14ac:dyDescent="0.25">
      <c r="A643" s="1">
        <v>16</v>
      </c>
      <c r="B643" s="1" t="s">
        <v>5</v>
      </c>
      <c r="C643" s="1" t="s">
        <v>7</v>
      </c>
      <c r="D643" s="1">
        <v>180603</v>
      </c>
      <c r="E643" s="1">
        <v>27690</v>
      </c>
    </row>
    <row r="644" spans="1:5" x14ac:dyDescent="0.25">
      <c r="A644" s="1">
        <v>16</v>
      </c>
      <c r="B644" s="1" t="s">
        <v>5</v>
      </c>
      <c r="C644" s="1" t="s">
        <v>8</v>
      </c>
      <c r="D644" s="1">
        <v>1798194</v>
      </c>
      <c r="E644" s="1">
        <v>1283154</v>
      </c>
    </row>
    <row r="645" spans="1:5" x14ac:dyDescent="0.25">
      <c r="A645" s="1">
        <v>16</v>
      </c>
      <c r="B645" s="1" t="s">
        <v>5</v>
      </c>
      <c r="C645" s="1" t="s">
        <v>9</v>
      </c>
      <c r="D645" s="1">
        <v>1135263</v>
      </c>
      <c r="E645" s="1">
        <v>344644</v>
      </c>
    </row>
    <row r="646" spans="1:5" x14ac:dyDescent="0.25">
      <c r="A646" s="1">
        <v>16</v>
      </c>
      <c r="B646" s="1" t="s">
        <v>5</v>
      </c>
      <c r="C646" s="1" t="s">
        <v>10</v>
      </c>
      <c r="D646" s="1">
        <v>287612</v>
      </c>
      <c r="E646" s="1">
        <v>227165</v>
      </c>
    </row>
    <row r="647" spans="1:5" x14ac:dyDescent="0.25">
      <c r="A647" s="1">
        <v>16</v>
      </c>
      <c r="B647" s="1" t="s">
        <v>5</v>
      </c>
      <c r="C647" s="1" t="s">
        <v>11</v>
      </c>
      <c r="D647" s="1">
        <v>179610</v>
      </c>
      <c r="E647" s="1">
        <v>23633</v>
      </c>
    </row>
    <row r="648" spans="1:5" x14ac:dyDescent="0.25">
      <c r="A648" s="1">
        <v>16</v>
      </c>
      <c r="B648" s="1" t="s">
        <v>5</v>
      </c>
      <c r="C648" s="1" t="s">
        <v>12</v>
      </c>
      <c r="D648" s="1">
        <v>89386</v>
      </c>
      <c r="E648" s="1">
        <v>13787</v>
      </c>
    </row>
    <row r="649" spans="1:5" x14ac:dyDescent="0.25">
      <c r="A649" s="1">
        <v>16</v>
      </c>
      <c r="B649" s="1" t="s">
        <v>5</v>
      </c>
      <c r="C649" s="1" t="s">
        <v>13</v>
      </c>
      <c r="D649" s="1">
        <v>1134186</v>
      </c>
      <c r="E649" s="1">
        <v>467079</v>
      </c>
    </row>
    <row r="650" spans="1:5" x14ac:dyDescent="0.25">
      <c r="A650" s="1">
        <v>16</v>
      </c>
      <c r="B650" s="1" t="s">
        <v>5</v>
      </c>
      <c r="C650" s="1" t="s">
        <v>14</v>
      </c>
      <c r="D650" s="1">
        <v>287587</v>
      </c>
      <c r="E650" s="1">
        <v>9752</v>
      </c>
    </row>
    <row r="651" spans="1:5" x14ac:dyDescent="0.25">
      <c r="A651" s="1">
        <v>16</v>
      </c>
      <c r="B651" s="1" t="s">
        <v>5</v>
      </c>
      <c r="C651" s="1" t="s">
        <v>15</v>
      </c>
      <c r="D651" s="1">
        <v>252107</v>
      </c>
      <c r="E651" s="1">
        <v>131156</v>
      </c>
    </row>
    <row r="652" spans="1:5" x14ac:dyDescent="0.25">
      <c r="A652" s="1">
        <v>16</v>
      </c>
      <c r="B652" s="1" t="s">
        <v>16</v>
      </c>
      <c r="C652" s="1" t="s">
        <v>6</v>
      </c>
      <c r="D652" s="1">
        <v>390973</v>
      </c>
      <c r="E652" s="1">
        <v>121069</v>
      </c>
    </row>
    <row r="653" spans="1:5" x14ac:dyDescent="0.25">
      <c r="A653" s="1">
        <v>16</v>
      </c>
      <c r="B653" s="1" t="s">
        <v>16</v>
      </c>
      <c r="C653" s="1" t="s">
        <v>7</v>
      </c>
      <c r="D653" s="1">
        <v>30121</v>
      </c>
      <c r="E653" s="1">
        <v>12633</v>
      </c>
    </row>
    <row r="654" spans="1:5" x14ac:dyDescent="0.25">
      <c r="A654" s="1">
        <v>16</v>
      </c>
      <c r="B654" s="1" t="s">
        <v>16</v>
      </c>
      <c r="C654" s="1" t="s">
        <v>8</v>
      </c>
      <c r="D654" s="1">
        <v>299800</v>
      </c>
      <c r="E654" s="1">
        <v>272455</v>
      </c>
    </row>
    <row r="655" spans="1:5" x14ac:dyDescent="0.25">
      <c r="A655" s="1">
        <v>16</v>
      </c>
      <c r="B655" s="1" t="s">
        <v>16</v>
      </c>
      <c r="C655" s="1" t="s">
        <v>9</v>
      </c>
      <c r="D655" s="1">
        <v>189348</v>
      </c>
      <c r="E655" s="1">
        <v>120641</v>
      </c>
    </row>
    <row r="656" spans="1:5" x14ac:dyDescent="0.25">
      <c r="A656" s="1">
        <v>16</v>
      </c>
      <c r="B656" s="1" t="s">
        <v>16</v>
      </c>
      <c r="C656" s="1" t="s">
        <v>10</v>
      </c>
      <c r="D656" s="1">
        <v>48155</v>
      </c>
      <c r="E656" s="1">
        <v>45160</v>
      </c>
    </row>
    <row r="657" spans="1:5" x14ac:dyDescent="0.25">
      <c r="A657" s="1">
        <v>16</v>
      </c>
      <c r="B657" s="1" t="s">
        <v>16</v>
      </c>
      <c r="C657" s="1" t="s">
        <v>11</v>
      </c>
      <c r="D657" s="1">
        <v>30014</v>
      </c>
      <c r="E657" s="1">
        <v>11311</v>
      </c>
    </row>
    <row r="658" spans="1:5" x14ac:dyDescent="0.25">
      <c r="A658" s="1">
        <v>16</v>
      </c>
      <c r="B658" s="1" t="s">
        <v>16</v>
      </c>
      <c r="C658" s="1" t="s">
        <v>12</v>
      </c>
      <c r="D658" s="1">
        <v>14818</v>
      </c>
      <c r="E658" s="1">
        <v>6217</v>
      </c>
    </row>
    <row r="659" spans="1:5" x14ac:dyDescent="0.25">
      <c r="A659" s="1">
        <v>16</v>
      </c>
      <c r="B659" s="1" t="s">
        <v>16</v>
      </c>
      <c r="C659" s="1" t="s">
        <v>13</v>
      </c>
      <c r="D659" s="1">
        <v>188586</v>
      </c>
      <c r="E659" s="1">
        <v>139099</v>
      </c>
    </row>
    <row r="660" spans="1:5" x14ac:dyDescent="0.25">
      <c r="A660" s="1">
        <v>16</v>
      </c>
      <c r="B660" s="1" t="s">
        <v>16</v>
      </c>
      <c r="C660" s="1" t="s">
        <v>14</v>
      </c>
      <c r="D660" s="1">
        <v>48037</v>
      </c>
      <c r="E660" s="1">
        <v>5894</v>
      </c>
    </row>
    <row r="661" spans="1:5" x14ac:dyDescent="0.25">
      <c r="A661" s="1">
        <v>16</v>
      </c>
      <c r="B661" s="1" t="s">
        <v>16</v>
      </c>
      <c r="C661" s="1" t="s">
        <v>15</v>
      </c>
      <c r="D661" s="1">
        <v>42024</v>
      </c>
      <c r="E661" s="1">
        <v>34157</v>
      </c>
    </row>
    <row r="662" spans="1:5" x14ac:dyDescent="0.25">
      <c r="A662" s="1">
        <v>16</v>
      </c>
      <c r="B662" s="1" t="s">
        <v>17</v>
      </c>
      <c r="C662" s="1" t="s">
        <v>6</v>
      </c>
      <c r="D662" s="1">
        <v>781034</v>
      </c>
      <c r="E662" s="1">
        <v>142947</v>
      </c>
    </row>
    <row r="663" spans="1:5" x14ac:dyDescent="0.25">
      <c r="A663" s="1">
        <v>16</v>
      </c>
      <c r="B663" s="1" t="s">
        <v>17</v>
      </c>
      <c r="C663" s="1" t="s">
        <v>7</v>
      </c>
      <c r="D663" s="1">
        <v>60097</v>
      </c>
      <c r="E663" s="1">
        <v>16099</v>
      </c>
    </row>
    <row r="664" spans="1:5" x14ac:dyDescent="0.25">
      <c r="A664" s="1">
        <v>16</v>
      </c>
      <c r="B664" s="1" t="s">
        <v>17</v>
      </c>
      <c r="C664" s="1" t="s">
        <v>8</v>
      </c>
      <c r="D664" s="1">
        <v>600224</v>
      </c>
      <c r="E664" s="1">
        <v>500303</v>
      </c>
    </row>
    <row r="665" spans="1:5" x14ac:dyDescent="0.25">
      <c r="A665" s="1">
        <v>16</v>
      </c>
      <c r="B665" s="1" t="s">
        <v>17</v>
      </c>
      <c r="C665" s="1" t="s">
        <v>9</v>
      </c>
      <c r="D665" s="1">
        <v>377534</v>
      </c>
      <c r="E665" s="1">
        <v>175642</v>
      </c>
    </row>
    <row r="666" spans="1:5" x14ac:dyDescent="0.25">
      <c r="A666" s="1">
        <v>16</v>
      </c>
      <c r="B666" s="1" t="s">
        <v>17</v>
      </c>
      <c r="C666" s="1" t="s">
        <v>10</v>
      </c>
      <c r="D666" s="1">
        <v>95707</v>
      </c>
      <c r="E666" s="1">
        <v>84445</v>
      </c>
    </row>
    <row r="667" spans="1:5" x14ac:dyDescent="0.25">
      <c r="A667" s="1">
        <v>16</v>
      </c>
      <c r="B667" s="1" t="s">
        <v>17</v>
      </c>
      <c r="C667" s="1" t="s">
        <v>11</v>
      </c>
      <c r="D667" s="1">
        <v>60602</v>
      </c>
      <c r="E667" s="1">
        <v>14283</v>
      </c>
    </row>
    <row r="668" spans="1:5" x14ac:dyDescent="0.25">
      <c r="A668" s="1">
        <v>16</v>
      </c>
      <c r="B668" s="1" t="s">
        <v>17</v>
      </c>
      <c r="C668" s="1" t="s">
        <v>12</v>
      </c>
      <c r="D668" s="1">
        <v>29579</v>
      </c>
      <c r="E668" s="1">
        <v>7913</v>
      </c>
    </row>
    <row r="669" spans="1:5" x14ac:dyDescent="0.25">
      <c r="A669" s="1">
        <v>16</v>
      </c>
      <c r="B669" s="1" t="s">
        <v>17</v>
      </c>
      <c r="C669" s="1" t="s">
        <v>13</v>
      </c>
      <c r="D669" s="1">
        <v>379163</v>
      </c>
      <c r="E669" s="1">
        <v>221366</v>
      </c>
    </row>
    <row r="670" spans="1:5" x14ac:dyDescent="0.25">
      <c r="A670" s="1">
        <v>16</v>
      </c>
      <c r="B670" s="1" t="s">
        <v>17</v>
      </c>
      <c r="C670" s="1" t="s">
        <v>14</v>
      </c>
      <c r="D670" s="1">
        <v>95507</v>
      </c>
      <c r="E670" s="1">
        <v>6356</v>
      </c>
    </row>
    <row r="671" spans="1:5" x14ac:dyDescent="0.25">
      <c r="A671" s="1">
        <v>16</v>
      </c>
      <c r="B671" s="1" t="s">
        <v>17</v>
      </c>
      <c r="C671" s="1" t="s">
        <v>15</v>
      </c>
      <c r="D671" s="1">
        <v>83969</v>
      </c>
      <c r="E671" s="1">
        <v>57458</v>
      </c>
    </row>
    <row r="672" spans="1:5" x14ac:dyDescent="0.25">
      <c r="A672" s="1">
        <v>16</v>
      </c>
      <c r="B672" s="1" t="s">
        <v>18</v>
      </c>
      <c r="C672" s="1" t="s">
        <v>6</v>
      </c>
      <c r="D672" s="1">
        <v>781667</v>
      </c>
      <c r="E672" s="1">
        <v>49394</v>
      </c>
    </row>
    <row r="673" spans="1:5" x14ac:dyDescent="0.25">
      <c r="A673" s="1">
        <v>16</v>
      </c>
      <c r="B673" s="1" t="s">
        <v>18</v>
      </c>
      <c r="C673" s="1" t="s">
        <v>7</v>
      </c>
      <c r="D673" s="1">
        <v>60296</v>
      </c>
      <c r="E673" s="1">
        <v>5885</v>
      </c>
    </row>
    <row r="674" spans="1:5" x14ac:dyDescent="0.25">
      <c r="A674" s="1">
        <v>16</v>
      </c>
      <c r="B674" s="1" t="s">
        <v>18</v>
      </c>
      <c r="C674" s="1" t="s">
        <v>8</v>
      </c>
      <c r="D674" s="1">
        <v>599820</v>
      </c>
      <c r="E674" s="1">
        <v>359603</v>
      </c>
    </row>
    <row r="675" spans="1:5" x14ac:dyDescent="0.25">
      <c r="A675" s="1">
        <v>16</v>
      </c>
      <c r="B675" s="1" t="s">
        <v>18</v>
      </c>
      <c r="C675" s="1" t="s">
        <v>9</v>
      </c>
      <c r="D675" s="1">
        <v>377828</v>
      </c>
      <c r="E675" s="1">
        <v>78196</v>
      </c>
    </row>
    <row r="676" spans="1:5" x14ac:dyDescent="0.25">
      <c r="A676" s="1">
        <v>16</v>
      </c>
      <c r="B676" s="1" t="s">
        <v>18</v>
      </c>
      <c r="C676" s="1" t="s">
        <v>10</v>
      </c>
      <c r="D676" s="1">
        <v>96043</v>
      </c>
      <c r="E676" s="1">
        <v>66723</v>
      </c>
    </row>
    <row r="677" spans="1:5" x14ac:dyDescent="0.25">
      <c r="A677" s="1">
        <v>16</v>
      </c>
      <c r="B677" s="1" t="s">
        <v>18</v>
      </c>
      <c r="C677" s="1" t="s">
        <v>11</v>
      </c>
      <c r="D677" s="1">
        <v>59845</v>
      </c>
      <c r="E677" s="1">
        <v>5002</v>
      </c>
    </row>
    <row r="678" spans="1:5" x14ac:dyDescent="0.25">
      <c r="A678" s="1">
        <v>16</v>
      </c>
      <c r="B678" s="1" t="s">
        <v>18</v>
      </c>
      <c r="C678" s="1" t="s">
        <v>12</v>
      </c>
      <c r="D678" s="1">
        <v>30076</v>
      </c>
      <c r="E678" s="1">
        <v>3015</v>
      </c>
    </row>
    <row r="679" spans="1:5" x14ac:dyDescent="0.25">
      <c r="A679" s="1">
        <v>16</v>
      </c>
      <c r="B679" s="1" t="s">
        <v>18</v>
      </c>
      <c r="C679" s="1" t="s">
        <v>13</v>
      </c>
      <c r="D679" s="1">
        <v>378980</v>
      </c>
      <c r="E679" s="1">
        <v>111620</v>
      </c>
    </row>
    <row r="680" spans="1:5" x14ac:dyDescent="0.25">
      <c r="A680" s="1">
        <v>16</v>
      </c>
      <c r="B680" s="1" t="s">
        <v>18</v>
      </c>
      <c r="C680" s="1" t="s">
        <v>14</v>
      </c>
      <c r="D680" s="1">
        <v>95762</v>
      </c>
      <c r="E680" s="1">
        <v>2004</v>
      </c>
    </row>
    <row r="681" spans="1:5" x14ac:dyDescent="0.25">
      <c r="A681" s="1">
        <v>16</v>
      </c>
      <c r="B681" s="1" t="s">
        <v>18</v>
      </c>
      <c r="C681" s="1" t="s">
        <v>15</v>
      </c>
      <c r="D681" s="1">
        <v>84477</v>
      </c>
      <c r="E681" s="1">
        <v>33241</v>
      </c>
    </row>
    <row r="682" spans="1:5" x14ac:dyDescent="0.25">
      <c r="A682" s="1">
        <v>17</v>
      </c>
      <c r="B682" s="1" t="s">
        <v>5</v>
      </c>
      <c r="C682" s="1" t="s">
        <v>6</v>
      </c>
      <c r="D682" s="1">
        <v>2484569</v>
      </c>
      <c r="E682" s="1">
        <v>248895</v>
      </c>
    </row>
    <row r="683" spans="1:5" x14ac:dyDescent="0.25">
      <c r="A683" s="1">
        <v>17</v>
      </c>
      <c r="B683" s="1" t="s">
        <v>5</v>
      </c>
      <c r="C683" s="1" t="s">
        <v>7</v>
      </c>
      <c r="D683" s="1">
        <v>190670</v>
      </c>
      <c r="E683" s="1">
        <v>29086</v>
      </c>
    </row>
    <row r="684" spans="1:5" x14ac:dyDescent="0.25">
      <c r="A684" s="1">
        <v>17</v>
      </c>
      <c r="B684" s="1" t="s">
        <v>5</v>
      </c>
      <c r="C684" s="1" t="s">
        <v>8</v>
      </c>
      <c r="D684" s="1">
        <v>1895023</v>
      </c>
      <c r="E684" s="1">
        <v>1349795</v>
      </c>
    </row>
    <row r="685" spans="1:5" x14ac:dyDescent="0.25">
      <c r="A685" s="1">
        <v>17</v>
      </c>
      <c r="B685" s="1" t="s">
        <v>5</v>
      </c>
      <c r="C685" s="1" t="s">
        <v>9</v>
      </c>
      <c r="D685" s="1">
        <v>1201192</v>
      </c>
      <c r="E685" s="1">
        <v>363630</v>
      </c>
    </row>
    <row r="686" spans="1:5" x14ac:dyDescent="0.25">
      <c r="A686" s="1">
        <v>17</v>
      </c>
      <c r="B686" s="1" t="s">
        <v>5</v>
      </c>
      <c r="C686" s="1" t="s">
        <v>10</v>
      </c>
      <c r="D686" s="1">
        <v>300546</v>
      </c>
      <c r="E686" s="1">
        <v>236952</v>
      </c>
    </row>
    <row r="687" spans="1:5" x14ac:dyDescent="0.25">
      <c r="A687" s="1">
        <v>17</v>
      </c>
      <c r="B687" s="1" t="s">
        <v>5</v>
      </c>
      <c r="C687" s="1" t="s">
        <v>11</v>
      </c>
      <c r="D687" s="1">
        <v>192023</v>
      </c>
      <c r="E687" s="1">
        <v>25172</v>
      </c>
    </row>
    <row r="688" spans="1:5" x14ac:dyDescent="0.25">
      <c r="A688" s="1">
        <v>17</v>
      </c>
      <c r="B688" s="1" t="s">
        <v>5</v>
      </c>
      <c r="C688" s="1" t="s">
        <v>12</v>
      </c>
      <c r="D688" s="1">
        <v>93758</v>
      </c>
      <c r="E688" s="1">
        <v>14165</v>
      </c>
    </row>
    <row r="689" spans="1:5" x14ac:dyDescent="0.25">
      <c r="A689" s="1">
        <v>17</v>
      </c>
      <c r="B689" s="1" t="s">
        <v>5</v>
      </c>
      <c r="C689" s="1" t="s">
        <v>13</v>
      </c>
      <c r="D689" s="1">
        <v>1201206</v>
      </c>
      <c r="E689" s="1">
        <v>491565</v>
      </c>
    </row>
    <row r="690" spans="1:5" x14ac:dyDescent="0.25">
      <c r="A690" s="1">
        <v>17</v>
      </c>
      <c r="B690" s="1" t="s">
        <v>5</v>
      </c>
      <c r="C690" s="1" t="s">
        <v>14</v>
      </c>
      <c r="D690" s="1">
        <v>300013</v>
      </c>
      <c r="E690" s="1">
        <v>10016</v>
      </c>
    </row>
    <row r="691" spans="1:5" x14ac:dyDescent="0.25">
      <c r="A691" s="1">
        <v>17</v>
      </c>
      <c r="B691" s="1" t="s">
        <v>5</v>
      </c>
      <c r="C691" s="1" t="s">
        <v>15</v>
      </c>
      <c r="D691" s="1">
        <v>269150</v>
      </c>
      <c r="E691" s="1">
        <v>138957</v>
      </c>
    </row>
    <row r="692" spans="1:5" x14ac:dyDescent="0.25">
      <c r="A692" s="1">
        <v>17</v>
      </c>
      <c r="B692" s="1" t="s">
        <v>16</v>
      </c>
      <c r="C692" s="1" t="s">
        <v>6</v>
      </c>
      <c r="D692" s="1">
        <v>414638</v>
      </c>
      <c r="E692" s="1">
        <v>127367</v>
      </c>
    </row>
    <row r="693" spans="1:5" x14ac:dyDescent="0.25">
      <c r="A693" s="1">
        <v>17</v>
      </c>
      <c r="B693" s="1" t="s">
        <v>16</v>
      </c>
      <c r="C693" s="1" t="s">
        <v>7</v>
      </c>
      <c r="D693" s="1">
        <v>31939</v>
      </c>
      <c r="E693" s="1">
        <v>13269</v>
      </c>
    </row>
    <row r="694" spans="1:5" x14ac:dyDescent="0.25">
      <c r="A694" s="1">
        <v>17</v>
      </c>
      <c r="B694" s="1" t="s">
        <v>16</v>
      </c>
      <c r="C694" s="1" t="s">
        <v>8</v>
      </c>
      <c r="D694" s="1">
        <v>315560</v>
      </c>
      <c r="E694" s="1">
        <v>286517</v>
      </c>
    </row>
    <row r="695" spans="1:5" x14ac:dyDescent="0.25">
      <c r="A695" s="1">
        <v>17</v>
      </c>
      <c r="B695" s="1" t="s">
        <v>16</v>
      </c>
      <c r="C695" s="1" t="s">
        <v>9</v>
      </c>
      <c r="D695" s="1">
        <v>200153</v>
      </c>
      <c r="E695" s="1">
        <v>126760</v>
      </c>
    </row>
    <row r="696" spans="1:5" x14ac:dyDescent="0.25">
      <c r="A696" s="1">
        <v>17</v>
      </c>
      <c r="B696" s="1" t="s">
        <v>16</v>
      </c>
      <c r="C696" s="1" t="s">
        <v>10</v>
      </c>
      <c r="D696" s="1">
        <v>50184</v>
      </c>
      <c r="E696" s="1">
        <v>46993</v>
      </c>
    </row>
    <row r="697" spans="1:5" x14ac:dyDescent="0.25">
      <c r="A697" s="1">
        <v>17</v>
      </c>
      <c r="B697" s="1" t="s">
        <v>16</v>
      </c>
      <c r="C697" s="1" t="s">
        <v>11</v>
      </c>
      <c r="D697" s="1">
        <v>31689</v>
      </c>
      <c r="E697" s="1">
        <v>11895</v>
      </c>
    </row>
    <row r="698" spans="1:5" x14ac:dyDescent="0.25">
      <c r="A698" s="1">
        <v>17</v>
      </c>
      <c r="B698" s="1" t="s">
        <v>16</v>
      </c>
      <c r="C698" s="1" t="s">
        <v>12</v>
      </c>
      <c r="D698" s="1">
        <v>15575</v>
      </c>
      <c r="E698" s="1">
        <v>6522</v>
      </c>
    </row>
    <row r="699" spans="1:5" x14ac:dyDescent="0.25">
      <c r="A699" s="1">
        <v>17</v>
      </c>
      <c r="B699" s="1" t="s">
        <v>16</v>
      </c>
      <c r="C699" s="1" t="s">
        <v>13</v>
      </c>
      <c r="D699" s="1">
        <v>200128</v>
      </c>
      <c r="E699" s="1">
        <v>146989</v>
      </c>
    </row>
    <row r="700" spans="1:5" x14ac:dyDescent="0.25">
      <c r="A700" s="1">
        <v>17</v>
      </c>
      <c r="B700" s="1" t="s">
        <v>16</v>
      </c>
      <c r="C700" s="1" t="s">
        <v>14</v>
      </c>
      <c r="D700" s="1">
        <v>50632</v>
      </c>
      <c r="E700" s="1">
        <v>6030</v>
      </c>
    </row>
    <row r="701" spans="1:5" x14ac:dyDescent="0.25">
      <c r="A701" s="1">
        <v>17</v>
      </c>
      <c r="B701" s="1" t="s">
        <v>16</v>
      </c>
      <c r="C701" s="1" t="s">
        <v>15</v>
      </c>
      <c r="D701" s="1">
        <v>44664</v>
      </c>
      <c r="E701" s="1">
        <v>36007</v>
      </c>
    </row>
    <row r="702" spans="1:5" x14ac:dyDescent="0.25">
      <c r="A702" s="1">
        <v>17</v>
      </c>
      <c r="B702" s="1" t="s">
        <v>17</v>
      </c>
      <c r="C702" s="1" t="s">
        <v>6</v>
      </c>
      <c r="D702" s="1">
        <v>827302</v>
      </c>
      <c r="E702" s="1">
        <v>150423</v>
      </c>
    </row>
    <row r="703" spans="1:5" x14ac:dyDescent="0.25">
      <c r="A703" s="1">
        <v>17</v>
      </c>
      <c r="B703" s="1" t="s">
        <v>17</v>
      </c>
      <c r="C703" s="1" t="s">
        <v>7</v>
      </c>
      <c r="D703" s="1">
        <v>63725</v>
      </c>
      <c r="E703" s="1">
        <v>16747</v>
      </c>
    </row>
    <row r="704" spans="1:5" x14ac:dyDescent="0.25">
      <c r="A704" s="1">
        <v>17</v>
      </c>
      <c r="B704" s="1" t="s">
        <v>17</v>
      </c>
      <c r="C704" s="1" t="s">
        <v>8</v>
      </c>
      <c r="D704" s="1">
        <v>632096</v>
      </c>
      <c r="E704" s="1">
        <v>525821</v>
      </c>
    </row>
    <row r="705" spans="1:5" x14ac:dyDescent="0.25">
      <c r="A705" s="1">
        <v>17</v>
      </c>
      <c r="B705" s="1" t="s">
        <v>17</v>
      </c>
      <c r="C705" s="1" t="s">
        <v>9</v>
      </c>
      <c r="D705" s="1">
        <v>401272</v>
      </c>
      <c r="E705" s="1">
        <v>186095</v>
      </c>
    </row>
    <row r="706" spans="1:5" x14ac:dyDescent="0.25">
      <c r="A706" s="1">
        <v>17</v>
      </c>
      <c r="B706" s="1" t="s">
        <v>17</v>
      </c>
      <c r="C706" s="1" t="s">
        <v>10</v>
      </c>
      <c r="D706" s="1">
        <v>100194</v>
      </c>
      <c r="E706" s="1">
        <v>88439</v>
      </c>
    </row>
    <row r="707" spans="1:5" x14ac:dyDescent="0.25">
      <c r="A707" s="1">
        <v>17</v>
      </c>
      <c r="B707" s="1" t="s">
        <v>17</v>
      </c>
      <c r="C707" s="1" t="s">
        <v>11</v>
      </c>
      <c r="D707" s="1">
        <v>63498</v>
      </c>
      <c r="E707" s="1">
        <v>14789</v>
      </c>
    </row>
    <row r="708" spans="1:5" x14ac:dyDescent="0.25">
      <c r="A708" s="1">
        <v>17</v>
      </c>
      <c r="B708" s="1" t="s">
        <v>17</v>
      </c>
      <c r="C708" s="1" t="s">
        <v>12</v>
      </c>
      <c r="D708" s="1">
        <v>31192</v>
      </c>
      <c r="E708" s="1">
        <v>8183</v>
      </c>
    </row>
    <row r="709" spans="1:5" x14ac:dyDescent="0.25">
      <c r="A709" s="1">
        <v>17</v>
      </c>
      <c r="B709" s="1" t="s">
        <v>17</v>
      </c>
      <c r="C709" s="1" t="s">
        <v>13</v>
      </c>
      <c r="D709" s="1">
        <v>401104</v>
      </c>
      <c r="E709" s="1">
        <v>233566</v>
      </c>
    </row>
    <row r="710" spans="1:5" x14ac:dyDescent="0.25">
      <c r="A710" s="1">
        <v>17</v>
      </c>
      <c r="B710" s="1" t="s">
        <v>17</v>
      </c>
      <c r="C710" s="1" t="s">
        <v>14</v>
      </c>
      <c r="D710" s="1">
        <v>100382</v>
      </c>
      <c r="E710" s="1">
        <v>6280</v>
      </c>
    </row>
    <row r="711" spans="1:5" x14ac:dyDescent="0.25">
      <c r="A711" s="1">
        <v>17</v>
      </c>
      <c r="B711" s="1" t="s">
        <v>17</v>
      </c>
      <c r="C711" s="1" t="s">
        <v>15</v>
      </c>
      <c r="D711" s="1">
        <v>90018</v>
      </c>
      <c r="E711" s="1">
        <v>61396</v>
      </c>
    </row>
    <row r="712" spans="1:5" x14ac:dyDescent="0.25">
      <c r="A712" s="1">
        <v>17</v>
      </c>
      <c r="B712" s="1" t="s">
        <v>18</v>
      </c>
      <c r="C712" s="1" t="s">
        <v>6</v>
      </c>
      <c r="D712" s="1">
        <v>827600</v>
      </c>
      <c r="E712" s="1">
        <v>51668</v>
      </c>
    </row>
    <row r="713" spans="1:5" x14ac:dyDescent="0.25">
      <c r="A713" s="1">
        <v>17</v>
      </c>
      <c r="B713" s="1" t="s">
        <v>18</v>
      </c>
      <c r="C713" s="1" t="s">
        <v>7</v>
      </c>
      <c r="D713" s="1">
        <v>64018</v>
      </c>
      <c r="E713" s="1">
        <v>6333</v>
      </c>
    </row>
    <row r="714" spans="1:5" x14ac:dyDescent="0.25">
      <c r="A714" s="1">
        <v>17</v>
      </c>
      <c r="B714" s="1" t="s">
        <v>18</v>
      </c>
      <c r="C714" s="1" t="s">
        <v>8</v>
      </c>
      <c r="D714" s="1">
        <v>632797</v>
      </c>
      <c r="E714" s="1">
        <v>377942</v>
      </c>
    </row>
    <row r="715" spans="1:5" x14ac:dyDescent="0.25">
      <c r="A715" s="1">
        <v>17</v>
      </c>
      <c r="B715" s="1" t="s">
        <v>18</v>
      </c>
      <c r="C715" s="1" t="s">
        <v>9</v>
      </c>
      <c r="D715" s="1">
        <v>400771</v>
      </c>
      <c r="E715" s="1">
        <v>82276</v>
      </c>
    </row>
    <row r="716" spans="1:5" x14ac:dyDescent="0.25">
      <c r="A716" s="1">
        <v>17</v>
      </c>
      <c r="B716" s="1" t="s">
        <v>18</v>
      </c>
      <c r="C716" s="1" t="s">
        <v>10</v>
      </c>
      <c r="D716" s="1">
        <v>100314</v>
      </c>
      <c r="E716" s="1">
        <v>69491</v>
      </c>
    </row>
    <row r="717" spans="1:5" x14ac:dyDescent="0.25">
      <c r="A717" s="1">
        <v>17</v>
      </c>
      <c r="B717" s="1" t="s">
        <v>18</v>
      </c>
      <c r="C717" s="1" t="s">
        <v>11</v>
      </c>
      <c r="D717" s="1">
        <v>64292</v>
      </c>
      <c r="E717" s="1">
        <v>5438</v>
      </c>
    </row>
    <row r="718" spans="1:5" x14ac:dyDescent="0.25">
      <c r="A718" s="1">
        <v>17</v>
      </c>
      <c r="B718" s="1" t="s">
        <v>18</v>
      </c>
      <c r="C718" s="1" t="s">
        <v>12</v>
      </c>
      <c r="D718" s="1">
        <v>30842</v>
      </c>
      <c r="E718" s="1">
        <v>3035</v>
      </c>
    </row>
    <row r="719" spans="1:5" x14ac:dyDescent="0.25">
      <c r="A719" s="1">
        <v>17</v>
      </c>
      <c r="B719" s="1" t="s">
        <v>18</v>
      </c>
      <c r="C719" s="1" t="s">
        <v>13</v>
      </c>
      <c r="D719" s="1">
        <v>400249</v>
      </c>
      <c r="E719" s="1">
        <v>118270</v>
      </c>
    </row>
    <row r="720" spans="1:5" x14ac:dyDescent="0.25">
      <c r="A720" s="1">
        <v>17</v>
      </c>
      <c r="B720" s="1" t="s">
        <v>18</v>
      </c>
      <c r="C720" s="1" t="s">
        <v>14</v>
      </c>
      <c r="D720" s="1">
        <v>100281</v>
      </c>
      <c r="E720" s="1">
        <v>1951</v>
      </c>
    </row>
    <row r="721" spans="1:5" x14ac:dyDescent="0.25">
      <c r="A721" s="1">
        <v>17</v>
      </c>
      <c r="B721" s="1" t="s">
        <v>18</v>
      </c>
      <c r="C721" s="1" t="s">
        <v>15</v>
      </c>
      <c r="D721" s="1">
        <v>89638</v>
      </c>
      <c r="E721" s="1">
        <v>35231</v>
      </c>
    </row>
    <row r="722" spans="1:5" x14ac:dyDescent="0.25">
      <c r="A722" s="1">
        <v>18</v>
      </c>
      <c r="B722" s="1" t="s">
        <v>5</v>
      </c>
      <c r="C722" s="1" t="s">
        <v>6</v>
      </c>
      <c r="D722" s="1">
        <v>2626091</v>
      </c>
      <c r="E722" s="1">
        <v>261525</v>
      </c>
    </row>
    <row r="723" spans="1:5" x14ac:dyDescent="0.25">
      <c r="A723" s="1">
        <v>18</v>
      </c>
      <c r="B723" s="1" t="s">
        <v>5</v>
      </c>
      <c r="C723" s="1" t="s">
        <v>7</v>
      </c>
      <c r="D723" s="1">
        <v>202300</v>
      </c>
      <c r="E723" s="1">
        <v>30599</v>
      </c>
    </row>
    <row r="724" spans="1:5" x14ac:dyDescent="0.25">
      <c r="A724" s="1">
        <v>18</v>
      </c>
      <c r="B724" s="1" t="s">
        <v>5</v>
      </c>
      <c r="C724" s="1" t="s">
        <v>8</v>
      </c>
      <c r="D724" s="1">
        <v>1994736</v>
      </c>
      <c r="E724" s="1">
        <v>1418777</v>
      </c>
    </row>
    <row r="725" spans="1:5" x14ac:dyDescent="0.25">
      <c r="A725" s="1">
        <v>18</v>
      </c>
      <c r="B725" s="1" t="s">
        <v>5</v>
      </c>
      <c r="C725" s="1" t="s">
        <v>9</v>
      </c>
      <c r="D725" s="1">
        <v>1270038</v>
      </c>
      <c r="E725" s="1">
        <v>381759</v>
      </c>
    </row>
    <row r="726" spans="1:5" x14ac:dyDescent="0.25">
      <c r="A726" s="1">
        <v>18</v>
      </c>
      <c r="B726" s="1" t="s">
        <v>5</v>
      </c>
      <c r="C726" s="1" t="s">
        <v>10</v>
      </c>
      <c r="D726" s="1">
        <v>314814</v>
      </c>
      <c r="E726" s="1">
        <v>247845</v>
      </c>
    </row>
    <row r="727" spans="1:5" x14ac:dyDescent="0.25">
      <c r="A727" s="1">
        <v>18</v>
      </c>
      <c r="B727" s="1" t="s">
        <v>5</v>
      </c>
      <c r="C727" s="1" t="s">
        <v>11</v>
      </c>
      <c r="D727" s="1">
        <v>202464</v>
      </c>
      <c r="E727" s="1">
        <v>26101</v>
      </c>
    </row>
    <row r="728" spans="1:5" x14ac:dyDescent="0.25">
      <c r="A728" s="1">
        <v>18</v>
      </c>
      <c r="B728" s="1" t="s">
        <v>5</v>
      </c>
      <c r="C728" s="1" t="s">
        <v>12</v>
      </c>
      <c r="D728" s="1">
        <v>96473</v>
      </c>
      <c r="E728" s="1">
        <v>14618</v>
      </c>
    </row>
    <row r="729" spans="1:5" x14ac:dyDescent="0.25">
      <c r="A729" s="1">
        <v>18</v>
      </c>
      <c r="B729" s="1" t="s">
        <v>5</v>
      </c>
      <c r="C729" s="1" t="s">
        <v>13</v>
      </c>
      <c r="D729" s="1">
        <v>1267668</v>
      </c>
      <c r="E729" s="1">
        <v>520179</v>
      </c>
    </row>
    <row r="730" spans="1:5" x14ac:dyDescent="0.25">
      <c r="A730" s="1">
        <v>18</v>
      </c>
      <c r="B730" s="1" t="s">
        <v>5</v>
      </c>
      <c r="C730" s="1" t="s">
        <v>14</v>
      </c>
      <c r="D730" s="1">
        <v>314963</v>
      </c>
      <c r="E730" s="1">
        <v>10125</v>
      </c>
    </row>
    <row r="731" spans="1:5" x14ac:dyDescent="0.25">
      <c r="A731" s="1">
        <v>18</v>
      </c>
      <c r="B731" s="1" t="s">
        <v>5</v>
      </c>
      <c r="C731" s="1" t="s">
        <v>15</v>
      </c>
      <c r="D731" s="1">
        <v>284788</v>
      </c>
      <c r="E731" s="1">
        <v>147101</v>
      </c>
    </row>
    <row r="732" spans="1:5" x14ac:dyDescent="0.25">
      <c r="A732" s="1">
        <v>18</v>
      </c>
      <c r="B732" s="1" t="s">
        <v>16</v>
      </c>
      <c r="C732" s="1" t="s">
        <v>6</v>
      </c>
      <c r="D732" s="1">
        <v>436836</v>
      </c>
      <c r="E732" s="1">
        <v>134085</v>
      </c>
    </row>
    <row r="733" spans="1:5" x14ac:dyDescent="0.25">
      <c r="A733" s="1">
        <v>18</v>
      </c>
      <c r="B733" s="1" t="s">
        <v>16</v>
      </c>
      <c r="C733" s="1" t="s">
        <v>7</v>
      </c>
      <c r="D733" s="1">
        <v>33628</v>
      </c>
      <c r="E733" s="1">
        <v>14091</v>
      </c>
    </row>
    <row r="734" spans="1:5" x14ac:dyDescent="0.25">
      <c r="A734" s="1">
        <v>18</v>
      </c>
      <c r="B734" s="1" t="s">
        <v>16</v>
      </c>
      <c r="C734" s="1" t="s">
        <v>8</v>
      </c>
      <c r="D734" s="1">
        <v>332420</v>
      </c>
      <c r="E734" s="1">
        <v>301635</v>
      </c>
    </row>
    <row r="735" spans="1:5" x14ac:dyDescent="0.25">
      <c r="A735" s="1">
        <v>18</v>
      </c>
      <c r="B735" s="1" t="s">
        <v>16</v>
      </c>
      <c r="C735" s="1" t="s">
        <v>9</v>
      </c>
      <c r="D735" s="1">
        <v>211589</v>
      </c>
      <c r="E735" s="1">
        <v>133346</v>
      </c>
    </row>
    <row r="736" spans="1:5" x14ac:dyDescent="0.25">
      <c r="A736" s="1">
        <v>18</v>
      </c>
      <c r="B736" s="1" t="s">
        <v>16</v>
      </c>
      <c r="C736" s="1" t="s">
        <v>10</v>
      </c>
      <c r="D736" s="1">
        <v>52217</v>
      </c>
      <c r="E736" s="1">
        <v>48978</v>
      </c>
    </row>
    <row r="737" spans="1:5" x14ac:dyDescent="0.25">
      <c r="A737" s="1">
        <v>18</v>
      </c>
      <c r="B737" s="1" t="s">
        <v>16</v>
      </c>
      <c r="C737" s="1" t="s">
        <v>11</v>
      </c>
      <c r="D737" s="1">
        <v>33833</v>
      </c>
      <c r="E737" s="1">
        <v>12770</v>
      </c>
    </row>
    <row r="738" spans="1:5" x14ac:dyDescent="0.25">
      <c r="A738" s="1">
        <v>18</v>
      </c>
      <c r="B738" s="1" t="s">
        <v>16</v>
      </c>
      <c r="C738" s="1" t="s">
        <v>12</v>
      </c>
      <c r="D738" s="1">
        <v>16174</v>
      </c>
      <c r="E738" s="1">
        <v>6718</v>
      </c>
    </row>
    <row r="739" spans="1:5" x14ac:dyDescent="0.25">
      <c r="A739" s="1">
        <v>18</v>
      </c>
      <c r="B739" s="1" t="s">
        <v>16</v>
      </c>
      <c r="C739" s="1" t="s">
        <v>13</v>
      </c>
      <c r="D739" s="1">
        <v>212509</v>
      </c>
      <c r="E739" s="1">
        <v>156357</v>
      </c>
    </row>
    <row r="740" spans="1:5" x14ac:dyDescent="0.25">
      <c r="A740" s="1">
        <v>18</v>
      </c>
      <c r="B740" s="1" t="s">
        <v>16</v>
      </c>
      <c r="C740" s="1" t="s">
        <v>14</v>
      </c>
      <c r="D740" s="1">
        <v>52233</v>
      </c>
      <c r="E740" s="1">
        <v>5939</v>
      </c>
    </row>
    <row r="741" spans="1:5" x14ac:dyDescent="0.25">
      <c r="A741" s="1">
        <v>18</v>
      </c>
      <c r="B741" s="1" t="s">
        <v>16</v>
      </c>
      <c r="C741" s="1" t="s">
        <v>15</v>
      </c>
      <c r="D741" s="1">
        <v>47224</v>
      </c>
      <c r="E741" s="1">
        <v>38291</v>
      </c>
    </row>
    <row r="742" spans="1:5" x14ac:dyDescent="0.25">
      <c r="A742" s="1">
        <v>18</v>
      </c>
      <c r="B742" s="1" t="s">
        <v>17</v>
      </c>
      <c r="C742" s="1" t="s">
        <v>6</v>
      </c>
      <c r="D742" s="1">
        <v>876332</v>
      </c>
      <c r="E742" s="1">
        <v>158760</v>
      </c>
    </row>
    <row r="743" spans="1:5" x14ac:dyDescent="0.25">
      <c r="A743" s="1">
        <v>18</v>
      </c>
      <c r="B743" s="1" t="s">
        <v>17</v>
      </c>
      <c r="C743" s="1" t="s">
        <v>7</v>
      </c>
      <c r="D743" s="1">
        <v>67593</v>
      </c>
      <c r="E743" s="1">
        <v>17671</v>
      </c>
    </row>
    <row r="744" spans="1:5" x14ac:dyDescent="0.25">
      <c r="A744" s="1">
        <v>18</v>
      </c>
      <c r="B744" s="1" t="s">
        <v>17</v>
      </c>
      <c r="C744" s="1" t="s">
        <v>8</v>
      </c>
      <c r="D744" s="1">
        <v>664272</v>
      </c>
      <c r="E744" s="1">
        <v>551515</v>
      </c>
    </row>
    <row r="745" spans="1:5" x14ac:dyDescent="0.25">
      <c r="A745" s="1">
        <v>18</v>
      </c>
      <c r="B745" s="1" t="s">
        <v>17</v>
      </c>
      <c r="C745" s="1" t="s">
        <v>9</v>
      </c>
      <c r="D745" s="1">
        <v>421672</v>
      </c>
      <c r="E745" s="1">
        <v>194692</v>
      </c>
    </row>
    <row r="746" spans="1:5" x14ac:dyDescent="0.25">
      <c r="A746" s="1">
        <v>18</v>
      </c>
      <c r="B746" s="1" t="s">
        <v>17</v>
      </c>
      <c r="C746" s="1" t="s">
        <v>10</v>
      </c>
      <c r="D746" s="1">
        <v>105005</v>
      </c>
      <c r="E746" s="1">
        <v>92406</v>
      </c>
    </row>
    <row r="747" spans="1:5" x14ac:dyDescent="0.25">
      <c r="A747" s="1">
        <v>18</v>
      </c>
      <c r="B747" s="1" t="s">
        <v>17</v>
      </c>
      <c r="C747" s="1" t="s">
        <v>11</v>
      </c>
      <c r="D747" s="1">
        <v>67249</v>
      </c>
      <c r="E747" s="1">
        <v>15699</v>
      </c>
    </row>
    <row r="748" spans="1:5" x14ac:dyDescent="0.25">
      <c r="A748" s="1">
        <v>18</v>
      </c>
      <c r="B748" s="1" t="s">
        <v>17</v>
      </c>
      <c r="C748" s="1" t="s">
        <v>12</v>
      </c>
      <c r="D748" s="1">
        <v>32196</v>
      </c>
      <c r="E748" s="1">
        <v>8445</v>
      </c>
    </row>
    <row r="749" spans="1:5" x14ac:dyDescent="0.25">
      <c r="A749" s="1">
        <v>18</v>
      </c>
      <c r="B749" s="1" t="s">
        <v>17</v>
      </c>
      <c r="C749" s="1" t="s">
        <v>13</v>
      </c>
      <c r="D749" s="1">
        <v>422508</v>
      </c>
      <c r="E749" s="1">
        <v>245253</v>
      </c>
    </row>
    <row r="750" spans="1:5" x14ac:dyDescent="0.25">
      <c r="A750" s="1">
        <v>18</v>
      </c>
      <c r="B750" s="1" t="s">
        <v>17</v>
      </c>
      <c r="C750" s="1" t="s">
        <v>14</v>
      </c>
      <c r="D750" s="1">
        <v>105003</v>
      </c>
      <c r="E750" s="1">
        <v>6390</v>
      </c>
    </row>
    <row r="751" spans="1:5" x14ac:dyDescent="0.25">
      <c r="A751" s="1">
        <v>18</v>
      </c>
      <c r="B751" s="1" t="s">
        <v>17</v>
      </c>
      <c r="C751" s="1" t="s">
        <v>15</v>
      </c>
      <c r="D751" s="1">
        <v>95188</v>
      </c>
      <c r="E751" s="1">
        <v>64697</v>
      </c>
    </row>
    <row r="752" spans="1:5" x14ac:dyDescent="0.25">
      <c r="A752" s="1">
        <v>18</v>
      </c>
      <c r="B752" s="1" t="s">
        <v>18</v>
      </c>
      <c r="C752" s="1" t="s">
        <v>6</v>
      </c>
      <c r="D752" s="1">
        <v>876856</v>
      </c>
      <c r="E752" s="1">
        <v>54509</v>
      </c>
    </row>
    <row r="753" spans="1:5" x14ac:dyDescent="0.25">
      <c r="A753" s="1">
        <v>18</v>
      </c>
      <c r="B753" s="1" t="s">
        <v>18</v>
      </c>
      <c r="C753" s="1" t="s">
        <v>7</v>
      </c>
      <c r="D753" s="1">
        <v>68138</v>
      </c>
      <c r="E753" s="1">
        <v>6658</v>
      </c>
    </row>
    <row r="754" spans="1:5" x14ac:dyDescent="0.25">
      <c r="A754" s="1">
        <v>18</v>
      </c>
      <c r="B754" s="1" t="s">
        <v>18</v>
      </c>
      <c r="C754" s="1" t="s">
        <v>8</v>
      </c>
      <c r="D754" s="1">
        <v>664887</v>
      </c>
      <c r="E754" s="1">
        <v>396227</v>
      </c>
    </row>
    <row r="755" spans="1:5" x14ac:dyDescent="0.25">
      <c r="A755" s="1">
        <v>18</v>
      </c>
      <c r="B755" s="1" t="s">
        <v>18</v>
      </c>
      <c r="C755" s="1" t="s">
        <v>9</v>
      </c>
      <c r="D755" s="1">
        <v>422301</v>
      </c>
      <c r="E755" s="1">
        <v>86366</v>
      </c>
    </row>
    <row r="756" spans="1:5" x14ac:dyDescent="0.25">
      <c r="A756" s="1">
        <v>18</v>
      </c>
      <c r="B756" s="1" t="s">
        <v>18</v>
      </c>
      <c r="C756" s="1" t="s">
        <v>10</v>
      </c>
      <c r="D756" s="1">
        <v>104921</v>
      </c>
      <c r="E756" s="1">
        <v>72370</v>
      </c>
    </row>
    <row r="757" spans="1:5" x14ac:dyDescent="0.25">
      <c r="A757" s="1">
        <v>18</v>
      </c>
      <c r="B757" s="1" t="s">
        <v>18</v>
      </c>
      <c r="C757" s="1" t="s">
        <v>11</v>
      </c>
      <c r="D757" s="1">
        <v>67690</v>
      </c>
      <c r="E757" s="1">
        <v>5563</v>
      </c>
    </row>
    <row r="758" spans="1:5" x14ac:dyDescent="0.25">
      <c r="A758" s="1">
        <v>18</v>
      </c>
      <c r="B758" s="1" t="s">
        <v>18</v>
      </c>
      <c r="C758" s="1" t="s">
        <v>12</v>
      </c>
      <c r="D758" s="1">
        <v>32000</v>
      </c>
      <c r="E758" s="1">
        <v>3072</v>
      </c>
    </row>
    <row r="759" spans="1:5" x14ac:dyDescent="0.25">
      <c r="A759" s="1">
        <v>18</v>
      </c>
      <c r="B759" s="1" t="s">
        <v>18</v>
      </c>
      <c r="C759" s="1" t="s">
        <v>13</v>
      </c>
      <c r="D759" s="1">
        <v>422760</v>
      </c>
      <c r="E759" s="1">
        <v>124839</v>
      </c>
    </row>
    <row r="760" spans="1:5" x14ac:dyDescent="0.25">
      <c r="A760" s="1">
        <v>18</v>
      </c>
      <c r="B760" s="1" t="s">
        <v>18</v>
      </c>
      <c r="C760" s="1" t="s">
        <v>14</v>
      </c>
      <c r="D760" s="1">
        <v>104466</v>
      </c>
      <c r="E760" s="1">
        <v>1984</v>
      </c>
    </row>
    <row r="761" spans="1:5" x14ac:dyDescent="0.25">
      <c r="A761" s="1">
        <v>18</v>
      </c>
      <c r="B761" s="1" t="s">
        <v>18</v>
      </c>
      <c r="C761" s="1" t="s">
        <v>15</v>
      </c>
      <c r="D761" s="1">
        <v>94939</v>
      </c>
      <c r="E761" s="1">
        <v>37148</v>
      </c>
    </row>
    <row r="762" spans="1:5" x14ac:dyDescent="0.25">
      <c r="A762" s="1">
        <v>19</v>
      </c>
      <c r="B762" s="1" t="s">
        <v>5</v>
      </c>
      <c r="C762" s="1" t="s">
        <v>6</v>
      </c>
      <c r="D762" s="1">
        <v>2770866</v>
      </c>
      <c r="E762" s="1">
        <v>274294</v>
      </c>
    </row>
    <row r="763" spans="1:5" x14ac:dyDescent="0.25">
      <c r="A763" s="1">
        <v>19</v>
      </c>
      <c r="B763" s="1" t="s">
        <v>5</v>
      </c>
      <c r="C763" s="1" t="s">
        <v>7</v>
      </c>
      <c r="D763" s="1">
        <v>214350</v>
      </c>
      <c r="E763" s="1">
        <v>32161</v>
      </c>
    </row>
    <row r="764" spans="1:5" x14ac:dyDescent="0.25">
      <c r="A764" s="1">
        <v>19</v>
      </c>
      <c r="B764" s="1" t="s">
        <v>5</v>
      </c>
      <c r="C764" s="1" t="s">
        <v>8</v>
      </c>
      <c r="D764" s="1">
        <v>2092631</v>
      </c>
      <c r="E764" s="1">
        <v>1484697</v>
      </c>
    </row>
    <row r="765" spans="1:5" x14ac:dyDescent="0.25">
      <c r="A765" s="1">
        <v>19</v>
      </c>
      <c r="B765" s="1" t="s">
        <v>5</v>
      </c>
      <c r="C765" s="1" t="s">
        <v>9</v>
      </c>
      <c r="D765" s="1">
        <v>1339047</v>
      </c>
      <c r="E765" s="1">
        <v>399177</v>
      </c>
    </row>
    <row r="766" spans="1:5" x14ac:dyDescent="0.25">
      <c r="A766" s="1">
        <v>19</v>
      </c>
      <c r="B766" s="1" t="s">
        <v>5</v>
      </c>
      <c r="C766" s="1" t="s">
        <v>10</v>
      </c>
      <c r="D766" s="1">
        <v>327276</v>
      </c>
      <c r="E766" s="1">
        <v>257230</v>
      </c>
    </row>
    <row r="767" spans="1:5" x14ac:dyDescent="0.25">
      <c r="A767" s="1">
        <v>19</v>
      </c>
      <c r="B767" s="1" t="s">
        <v>5</v>
      </c>
      <c r="C767" s="1" t="s">
        <v>11</v>
      </c>
      <c r="D767" s="1">
        <v>214151</v>
      </c>
      <c r="E767" s="1">
        <v>27975</v>
      </c>
    </row>
    <row r="768" spans="1:5" x14ac:dyDescent="0.25">
      <c r="A768" s="1">
        <v>19</v>
      </c>
      <c r="B768" s="1" t="s">
        <v>5</v>
      </c>
      <c r="C768" s="1" t="s">
        <v>12</v>
      </c>
      <c r="D768" s="1">
        <v>100785</v>
      </c>
      <c r="E768" s="1">
        <v>14919</v>
      </c>
    </row>
    <row r="769" spans="1:5" x14ac:dyDescent="0.25">
      <c r="A769" s="1">
        <v>19</v>
      </c>
      <c r="B769" s="1" t="s">
        <v>5</v>
      </c>
      <c r="C769" s="1" t="s">
        <v>13</v>
      </c>
      <c r="D769" s="1">
        <v>1333096</v>
      </c>
      <c r="E769" s="1">
        <v>545061</v>
      </c>
    </row>
    <row r="770" spans="1:5" x14ac:dyDescent="0.25">
      <c r="A770" s="1">
        <v>19</v>
      </c>
      <c r="B770" s="1" t="s">
        <v>5</v>
      </c>
      <c r="C770" s="1" t="s">
        <v>14</v>
      </c>
      <c r="D770" s="1">
        <v>327624</v>
      </c>
      <c r="E770" s="1">
        <v>10073</v>
      </c>
    </row>
    <row r="771" spans="1:5" x14ac:dyDescent="0.25">
      <c r="A771" s="1">
        <v>19</v>
      </c>
      <c r="B771" s="1" t="s">
        <v>5</v>
      </c>
      <c r="C771" s="1" t="s">
        <v>15</v>
      </c>
      <c r="D771" s="1">
        <v>302363</v>
      </c>
      <c r="E771" s="1">
        <v>155872</v>
      </c>
    </row>
    <row r="772" spans="1:5" x14ac:dyDescent="0.25">
      <c r="A772" s="1">
        <v>19</v>
      </c>
      <c r="B772" s="1" t="s">
        <v>16</v>
      </c>
      <c r="C772" s="1" t="s">
        <v>6</v>
      </c>
      <c r="D772" s="1">
        <v>462634</v>
      </c>
      <c r="E772" s="1">
        <v>140796</v>
      </c>
    </row>
    <row r="773" spans="1:5" x14ac:dyDescent="0.25">
      <c r="A773" s="1">
        <v>19</v>
      </c>
      <c r="B773" s="1" t="s">
        <v>16</v>
      </c>
      <c r="C773" s="1" t="s">
        <v>7</v>
      </c>
      <c r="D773" s="1">
        <v>35754</v>
      </c>
      <c r="E773" s="1">
        <v>14784</v>
      </c>
    </row>
    <row r="774" spans="1:5" x14ac:dyDescent="0.25">
      <c r="A774" s="1">
        <v>19</v>
      </c>
      <c r="B774" s="1" t="s">
        <v>16</v>
      </c>
      <c r="C774" s="1" t="s">
        <v>8</v>
      </c>
      <c r="D774" s="1">
        <v>348461</v>
      </c>
      <c r="E774" s="1">
        <v>316102</v>
      </c>
    </row>
    <row r="775" spans="1:5" x14ac:dyDescent="0.25">
      <c r="A775" s="1">
        <v>19</v>
      </c>
      <c r="B775" s="1" t="s">
        <v>16</v>
      </c>
      <c r="C775" s="1" t="s">
        <v>9</v>
      </c>
      <c r="D775" s="1">
        <v>222970</v>
      </c>
      <c r="E775" s="1">
        <v>140230</v>
      </c>
    </row>
    <row r="776" spans="1:5" x14ac:dyDescent="0.25">
      <c r="A776" s="1">
        <v>19</v>
      </c>
      <c r="B776" s="1" t="s">
        <v>16</v>
      </c>
      <c r="C776" s="1" t="s">
        <v>10</v>
      </c>
      <c r="D776" s="1">
        <v>54400</v>
      </c>
      <c r="E776" s="1">
        <v>50936</v>
      </c>
    </row>
    <row r="777" spans="1:5" x14ac:dyDescent="0.25">
      <c r="A777" s="1">
        <v>19</v>
      </c>
      <c r="B777" s="1" t="s">
        <v>16</v>
      </c>
      <c r="C777" s="1" t="s">
        <v>11</v>
      </c>
      <c r="D777" s="1">
        <v>35836</v>
      </c>
      <c r="E777" s="1">
        <v>13354</v>
      </c>
    </row>
    <row r="778" spans="1:5" x14ac:dyDescent="0.25">
      <c r="A778" s="1">
        <v>19</v>
      </c>
      <c r="B778" s="1" t="s">
        <v>16</v>
      </c>
      <c r="C778" s="1" t="s">
        <v>12</v>
      </c>
      <c r="D778" s="1">
        <v>16772</v>
      </c>
      <c r="E778" s="1">
        <v>6965</v>
      </c>
    </row>
    <row r="779" spans="1:5" x14ac:dyDescent="0.25">
      <c r="A779" s="1">
        <v>19</v>
      </c>
      <c r="B779" s="1" t="s">
        <v>16</v>
      </c>
      <c r="C779" s="1" t="s">
        <v>13</v>
      </c>
      <c r="D779" s="1">
        <v>222819</v>
      </c>
      <c r="E779" s="1">
        <v>163535</v>
      </c>
    </row>
    <row r="780" spans="1:5" x14ac:dyDescent="0.25">
      <c r="A780" s="1">
        <v>19</v>
      </c>
      <c r="B780" s="1" t="s">
        <v>16</v>
      </c>
      <c r="C780" s="1" t="s">
        <v>14</v>
      </c>
      <c r="D780" s="1">
        <v>54711</v>
      </c>
      <c r="E780" s="1">
        <v>6242</v>
      </c>
    </row>
    <row r="781" spans="1:5" x14ac:dyDescent="0.25">
      <c r="A781" s="1">
        <v>19</v>
      </c>
      <c r="B781" s="1" t="s">
        <v>16</v>
      </c>
      <c r="C781" s="1" t="s">
        <v>15</v>
      </c>
      <c r="D781" s="1">
        <v>50282</v>
      </c>
      <c r="E781" s="1">
        <v>40654</v>
      </c>
    </row>
    <row r="782" spans="1:5" x14ac:dyDescent="0.25">
      <c r="A782" s="1">
        <v>19</v>
      </c>
      <c r="B782" s="1" t="s">
        <v>17</v>
      </c>
      <c r="C782" s="1" t="s">
        <v>6</v>
      </c>
      <c r="D782" s="1">
        <v>923391</v>
      </c>
      <c r="E782" s="1">
        <v>165974</v>
      </c>
    </row>
    <row r="783" spans="1:5" x14ac:dyDescent="0.25">
      <c r="A783" s="1">
        <v>19</v>
      </c>
      <c r="B783" s="1" t="s">
        <v>17</v>
      </c>
      <c r="C783" s="1" t="s">
        <v>7</v>
      </c>
      <c r="D783" s="1">
        <v>71064</v>
      </c>
      <c r="E783" s="1">
        <v>18383</v>
      </c>
    </row>
    <row r="784" spans="1:5" x14ac:dyDescent="0.25">
      <c r="A784" s="1">
        <v>19</v>
      </c>
      <c r="B784" s="1" t="s">
        <v>17</v>
      </c>
      <c r="C784" s="1" t="s">
        <v>8</v>
      </c>
      <c r="D784" s="1">
        <v>696559</v>
      </c>
      <c r="E784" s="1">
        <v>578473</v>
      </c>
    </row>
    <row r="785" spans="1:5" x14ac:dyDescent="0.25">
      <c r="A785" s="1">
        <v>19</v>
      </c>
      <c r="B785" s="1" t="s">
        <v>17</v>
      </c>
      <c r="C785" s="1" t="s">
        <v>9</v>
      </c>
      <c r="D785" s="1">
        <v>445300</v>
      </c>
      <c r="E785" s="1">
        <v>205368</v>
      </c>
    </row>
    <row r="786" spans="1:5" x14ac:dyDescent="0.25">
      <c r="A786" s="1">
        <v>19</v>
      </c>
      <c r="B786" s="1" t="s">
        <v>17</v>
      </c>
      <c r="C786" s="1" t="s">
        <v>10</v>
      </c>
      <c r="D786" s="1">
        <v>108851</v>
      </c>
      <c r="E786" s="1">
        <v>95917</v>
      </c>
    </row>
    <row r="787" spans="1:5" x14ac:dyDescent="0.25">
      <c r="A787" s="1">
        <v>19</v>
      </c>
      <c r="B787" s="1" t="s">
        <v>17</v>
      </c>
      <c r="C787" s="1" t="s">
        <v>11</v>
      </c>
      <c r="D787" s="1">
        <v>71785</v>
      </c>
      <c r="E787" s="1">
        <v>16475</v>
      </c>
    </row>
    <row r="788" spans="1:5" x14ac:dyDescent="0.25">
      <c r="A788" s="1">
        <v>19</v>
      </c>
      <c r="B788" s="1" t="s">
        <v>17</v>
      </c>
      <c r="C788" s="1" t="s">
        <v>12</v>
      </c>
      <c r="D788" s="1">
        <v>33739</v>
      </c>
      <c r="E788" s="1">
        <v>8727</v>
      </c>
    </row>
    <row r="789" spans="1:5" x14ac:dyDescent="0.25">
      <c r="A789" s="1">
        <v>19</v>
      </c>
      <c r="B789" s="1" t="s">
        <v>17</v>
      </c>
      <c r="C789" s="1" t="s">
        <v>13</v>
      </c>
      <c r="D789" s="1">
        <v>444495</v>
      </c>
      <c r="E789" s="1">
        <v>258353</v>
      </c>
    </row>
    <row r="790" spans="1:5" x14ac:dyDescent="0.25">
      <c r="A790" s="1">
        <v>19</v>
      </c>
      <c r="B790" s="1" t="s">
        <v>17</v>
      </c>
      <c r="C790" s="1" t="s">
        <v>14</v>
      </c>
      <c r="D790" s="1">
        <v>109114</v>
      </c>
      <c r="E790" s="1">
        <v>6507</v>
      </c>
    </row>
    <row r="791" spans="1:5" x14ac:dyDescent="0.25">
      <c r="A791" s="1">
        <v>19</v>
      </c>
      <c r="B791" s="1" t="s">
        <v>17</v>
      </c>
      <c r="C791" s="1" t="s">
        <v>15</v>
      </c>
      <c r="D791" s="1">
        <v>101330</v>
      </c>
      <c r="E791" s="1">
        <v>69093</v>
      </c>
    </row>
    <row r="792" spans="1:5" x14ac:dyDescent="0.25">
      <c r="A792" s="1">
        <v>19</v>
      </c>
      <c r="B792" s="1" t="s">
        <v>18</v>
      </c>
      <c r="C792" s="1" t="s">
        <v>6</v>
      </c>
      <c r="D792" s="1">
        <v>923877</v>
      </c>
      <c r="E792" s="1">
        <v>56605</v>
      </c>
    </row>
    <row r="793" spans="1:5" x14ac:dyDescent="0.25">
      <c r="A793" s="1">
        <v>19</v>
      </c>
      <c r="B793" s="1" t="s">
        <v>18</v>
      </c>
      <c r="C793" s="1" t="s">
        <v>7</v>
      </c>
      <c r="D793" s="1">
        <v>71385</v>
      </c>
      <c r="E793" s="1">
        <v>6791</v>
      </c>
    </row>
    <row r="794" spans="1:5" x14ac:dyDescent="0.25">
      <c r="A794" s="1">
        <v>19</v>
      </c>
      <c r="B794" s="1" t="s">
        <v>18</v>
      </c>
      <c r="C794" s="1" t="s">
        <v>8</v>
      </c>
      <c r="D794" s="1">
        <v>697009</v>
      </c>
      <c r="E794" s="1">
        <v>414169</v>
      </c>
    </row>
    <row r="795" spans="1:5" x14ac:dyDescent="0.25">
      <c r="A795" s="1">
        <v>19</v>
      </c>
      <c r="B795" s="1" t="s">
        <v>18</v>
      </c>
      <c r="C795" s="1" t="s">
        <v>9</v>
      </c>
      <c r="D795" s="1">
        <v>445279</v>
      </c>
      <c r="E795" s="1">
        <v>90823</v>
      </c>
    </row>
    <row r="796" spans="1:5" x14ac:dyDescent="0.25">
      <c r="A796" s="1">
        <v>19</v>
      </c>
      <c r="B796" s="1" t="s">
        <v>18</v>
      </c>
      <c r="C796" s="1" t="s">
        <v>10</v>
      </c>
      <c r="D796" s="1">
        <v>108866</v>
      </c>
      <c r="E796" s="1">
        <v>74904</v>
      </c>
    </row>
    <row r="797" spans="1:5" x14ac:dyDescent="0.25">
      <c r="A797" s="1">
        <v>19</v>
      </c>
      <c r="B797" s="1" t="s">
        <v>18</v>
      </c>
      <c r="C797" s="1" t="s">
        <v>11</v>
      </c>
      <c r="D797" s="1">
        <v>71053</v>
      </c>
      <c r="E797" s="1">
        <v>5881</v>
      </c>
    </row>
    <row r="798" spans="1:5" x14ac:dyDescent="0.25">
      <c r="A798" s="1">
        <v>19</v>
      </c>
      <c r="B798" s="1" t="s">
        <v>18</v>
      </c>
      <c r="C798" s="1" t="s">
        <v>12</v>
      </c>
      <c r="D798" s="1">
        <v>33494</v>
      </c>
      <c r="E798" s="1">
        <v>3264</v>
      </c>
    </row>
    <row r="799" spans="1:5" x14ac:dyDescent="0.25">
      <c r="A799" s="1">
        <v>19</v>
      </c>
      <c r="B799" s="1" t="s">
        <v>18</v>
      </c>
      <c r="C799" s="1" t="s">
        <v>13</v>
      </c>
      <c r="D799" s="1">
        <v>446162</v>
      </c>
      <c r="E799" s="1">
        <v>131210</v>
      </c>
    </row>
    <row r="800" spans="1:5" x14ac:dyDescent="0.25">
      <c r="A800" s="1">
        <v>19</v>
      </c>
      <c r="B800" s="1" t="s">
        <v>18</v>
      </c>
      <c r="C800" s="1" t="s">
        <v>14</v>
      </c>
      <c r="D800" s="1">
        <v>108845</v>
      </c>
      <c r="E800" s="1">
        <v>2004</v>
      </c>
    </row>
    <row r="801" spans="1:5" x14ac:dyDescent="0.25">
      <c r="A801" s="1">
        <v>19</v>
      </c>
      <c r="B801" s="1" t="s">
        <v>18</v>
      </c>
      <c r="C801" s="1" t="s">
        <v>15</v>
      </c>
      <c r="D801" s="1">
        <v>100934</v>
      </c>
      <c r="E801" s="1">
        <v>39083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EFE1-BA23-40F7-A472-09DCAE68D787}">
  <sheetPr>
    <tabColor theme="6" tint="0.39997558519241921"/>
  </sheetPr>
  <dimension ref="A2:A9"/>
  <sheetViews>
    <sheetView workbookViewId="0">
      <selection activeCell="C24" sqref="C24"/>
    </sheetView>
  </sheetViews>
  <sheetFormatPr defaultRowHeight="13.2" x14ac:dyDescent="0.25"/>
  <cols>
    <col min="1" max="1" width="86.21875" bestFit="1" customWidth="1"/>
  </cols>
  <sheetData>
    <row r="2" spans="1:1" ht="13.8" x14ac:dyDescent="0.3">
      <c r="A2" s="21" t="s">
        <v>34</v>
      </c>
    </row>
    <row r="3" spans="1:1" ht="13.8" x14ac:dyDescent="0.3">
      <c r="A3" s="19" t="s">
        <v>35</v>
      </c>
    </row>
    <row r="4" spans="1:1" ht="13.8" x14ac:dyDescent="0.3">
      <c r="A4" s="20" t="s">
        <v>40</v>
      </c>
    </row>
    <row r="5" spans="1:1" ht="13.8" x14ac:dyDescent="0.3">
      <c r="A5" s="19" t="s">
        <v>36</v>
      </c>
    </row>
    <row r="7" spans="1:1" ht="14.4" x14ac:dyDescent="0.3">
      <c r="A7" s="22" t="s">
        <v>37</v>
      </c>
    </row>
    <row r="8" spans="1:1" ht="13.8" x14ac:dyDescent="0.3">
      <c r="A8" s="20" t="s">
        <v>39</v>
      </c>
    </row>
    <row r="9" spans="1:1" ht="13.8" x14ac:dyDescent="0.3">
      <c r="A9" s="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A85A-9A34-4EE6-8307-D449D2AE7CBB}">
  <sheetPr>
    <tabColor theme="7" tint="0.59999389629810485"/>
  </sheetPr>
  <dimension ref="A3:D24"/>
  <sheetViews>
    <sheetView workbookViewId="0">
      <selection activeCell="F27" sqref="F27"/>
    </sheetView>
  </sheetViews>
  <sheetFormatPr defaultRowHeight="13.2" x14ac:dyDescent="0.25"/>
  <cols>
    <col min="1" max="1" width="13.33203125" bestFit="1" customWidth="1"/>
    <col min="2" max="2" width="12.21875" bestFit="1" customWidth="1"/>
    <col min="3" max="3" width="18.5546875" bestFit="1" customWidth="1"/>
    <col min="4" max="4" width="16.77734375" customWidth="1"/>
  </cols>
  <sheetData>
    <row r="3" spans="1:4" x14ac:dyDescent="0.25">
      <c r="A3" s="2" t="s">
        <v>19</v>
      </c>
      <c r="B3" t="s">
        <v>21</v>
      </c>
      <c r="C3" t="s">
        <v>22</v>
      </c>
      <c r="D3" s="6" t="s">
        <v>23</v>
      </c>
    </row>
    <row r="4" spans="1:4" x14ac:dyDescent="0.25">
      <c r="A4" s="3">
        <v>0</v>
      </c>
      <c r="B4" s="4">
        <v>1335907</v>
      </c>
      <c r="C4" s="4">
        <v>489984</v>
      </c>
      <c r="D4" s="7">
        <f>GETPIVOTDATA("Sum of conversions",$A$3,"week",0)/GETPIVOTDATA("Sum of visits",$A$3,"week",0)</f>
        <v>0.3667800228608728</v>
      </c>
    </row>
    <row r="5" spans="1:4" x14ac:dyDescent="0.25">
      <c r="A5" s="3">
        <v>1</v>
      </c>
      <c r="B5" s="4">
        <v>2005322</v>
      </c>
      <c r="C5" s="4">
        <v>732148</v>
      </c>
      <c r="D5" s="7">
        <f>GETPIVOTDATA("Sum of conversions",$A$3,"week",1)/GETPIVOTDATA("Sum of visits",$A$3,"week",1)</f>
        <v>0.36510246234769278</v>
      </c>
    </row>
    <row r="6" spans="1:4" x14ac:dyDescent="0.25">
      <c r="A6" s="3">
        <v>2</v>
      </c>
      <c r="B6" s="4">
        <v>2683632</v>
      </c>
      <c r="C6" s="4">
        <v>978159</v>
      </c>
      <c r="D6" s="7">
        <f>GETPIVOTDATA("Sum of conversions",$A$3,"week",2)/GETPIVOTDATA("Sum of visits",$A$3,"week",2)</f>
        <v>0.36449073494428447</v>
      </c>
    </row>
    <row r="7" spans="1:4" x14ac:dyDescent="0.25">
      <c r="A7" s="3">
        <v>3</v>
      </c>
      <c r="B7" s="4">
        <v>3358351</v>
      </c>
      <c r="C7" s="4">
        <v>1214997</v>
      </c>
      <c r="D7" s="7">
        <f>GETPIVOTDATA("Sum of conversions",$A$3,"week",3)/GETPIVOTDATA("Sum of visits",$A$3,"week",3)</f>
        <v>0.3617838040157208</v>
      </c>
    </row>
    <row r="8" spans="1:4" x14ac:dyDescent="0.25">
      <c r="A8" s="3">
        <v>4</v>
      </c>
      <c r="B8" s="4">
        <v>4036153</v>
      </c>
      <c r="C8" s="4">
        <v>1457806</v>
      </c>
      <c r="D8" s="7">
        <f>GETPIVOTDATA("Sum of conversions",$A$3,"week",4)/GETPIVOTDATA("Sum of visits",$A$3,"week",4)</f>
        <v>0.36118700158294298</v>
      </c>
    </row>
    <row r="9" spans="1:4" x14ac:dyDescent="0.25">
      <c r="A9" s="3">
        <v>5</v>
      </c>
      <c r="B9" s="4">
        <v>4722698</v>
      </c>
      <c r="C9" s="4">
        <v>1695020</v>
      </c>
      <c r="D9" s="7">
        <f>GETPIVOTDATA("Sum of conversions",$A$3,"week",5)/GETPIVOTDATA("Sum of visits",$A$3,"week",5)</f>
        <v>0.35890925060209228</v>
      </c>
    </row>
    <row r="10" spans="1:4" x14ac:dyDescent="0.25">
      <c r="A10" s="3">
        <v>6</v>
      </c>
      <c r="B10" s="4">
        <v>5407263</v>
      </c>
      <c r="C10" s="4">
        <v>1932916</v>
      </c>
      <c r="D10" s="7">
        <f>GETPIVOTDATA("Sum of conversions",$A$3,"week",6)/GETPIVOTDATA("Sum of visits",$A$3,"week",6)</f>
        <v>0.3574666148104873</v>
      </c>
    </row>
    <row r="11" spans="1:4" x14ac:dyDescent="0.25">
      <c r="A11" s="3">
        <v>7</v>
      </c>
      <c r="B11" s="4">
        <v>6934057</v>
      </c>
      <c r="C11" s="4">
        <v>2792156</v>
      </c>
      <c r="D11" s="7">
        <f>GETPIVOTDATA("Sum of conversions",$A$3,"week",7)/GETPIVOTDATA("Sum of visits",$A$3,"week",7)</f>
        <v>0.40267277872102869</v>
      </c>
    </row>
    <row r="12" spans="1:4" x14ac:dyDescent="0.25">
      <c r="A12" s="3">
        <v>8</v>
      </c>
      <c r="B12" s="4">
        <v>7720981</v>
      </c>
      <c r="C12" s="4">
        <v>3097321</v>
      </c>
      <c r="D12" s="7">
        <f>GETPIVOTDATA("Sum of conversions",$A$3,"week",8)/GETPIVOTDATA("Sum of visits",$A$3,"week",8)</f>
        <v>0.4011564074565136</v>
      </c>
    </row>
    <row r="13" spans="1:4" x14ac:dyDescent="0.25">
      <c r="A13" s="3">
        <v>9</v>
      </c>
      <c r="B13" s="4">
        <v>8503066</v>
      </c>
      <c r="C13" s="4">
        <v>3397736</v>
      </c>
      <c r="D13" s="7">
        <f>GETPIVOTDATA("Sum of conversions",$A$3,"week",9)/GETPIVOTDATA("Sum of visits",$A$3,"week",9)</f>
        <v>0.39958951277104049</v>
      </c>
    </row>
    <row r="14" spans="1:4" x14ac:dyDescent="0.25">
      <c r="A14" s="3">
        <v>10</v>
      </c>
      <c r="B14" s="4">
        <v>9293585</v>
      </c>
      <c r="C14" s="4">
        <v>3697457</v>
      </c>
      <c r="D14" s="7">
        <f>GETPIVOTDATA("Sum of conversions",$A$3,"week",10)/GETPIVOTDATA("Sum of visits",$A$3,"week",10)</f>
        <v>0.39785045275854258</v>
      </c>
    </row>
    <row r="15" spans="1:4" x14ac:dyDescent="0.25">
      <c r="A15" s="3">
        <v>11</v>
      </c>
      <c r="B15" s="4">
        <v>10087397</v>
      </c>
      <c r="C15" s="4">
        <v>3995721</v>
      </c>
      <c r="D15" s="7">
        <f>GETPIVOTDATA("Sum of conversions",$A$3,"week",11)/GETPIVOTDATA("Sum of visits",$A$3,"week",11)</f>
        <v>0.39611021554916498</v>
      </c>
    </row>
    <row r="16" spans="1:4" x14ac:dyDescent="0.25">
      <c r="A16" s="3">
        <v>12</v>
      </c>
      <c r="B16" s="4">
        <v>10882972</v>
      </c>
      <c r="C16" s="4">
        <v>4296988</v>
      </c>
      <c r="D16" s="7">
        <f>GETPIVOTDATA("Sum of conversions",$A$3,"week",12)/GETPIVOTDATA("Sum of visits",$A$3,"week",12)</f>
        <v>0.39483589592989854</v>
      </c>
    </row>
    <row r="17" spans="1:4" x14ac:dyDescent="0.25">
      <c r="A17" s="3">
        <v>13</v>
      </c>
      <c r="B17" s="4">
        <v>11682756</v>
      </c>
      <c r="C17" s="4">
        <v>4590497</v>
      </c>
      <c r="D17" s="7">
        <f>GETPIVOTDATA("Sum of conversions",$A$3,"week",13)/GETPIVOTDATA("Sum of visits",$A$3,"week",13)</f>
        <v>0.39292928826040707</v>
      </c>
    </row>
    <row r="18" spans="1:4" x14ac:dyDescent="0.25">
      <c r="A18" s="3">
        <v>14</v>
      </c>
      <c r="B18" s="4">
        <v>12481115</v>
      </c>
      <c r="C18" s="4">
        <v>4887635</v>
      </c>
      <c r="D18" s="7">
        <f>GETPIVOTDATA("Sum of conversions",$A$3,"week",14)/GETPIVOTDATA("Sum of visits",$A$3,"week",15)</f>
        <v>0.36780365463697862</v>
      </c>
    </row>
    <row r="19" spans="1:4" x14ac:dyDescent="0.25">
      <c r="A19" s="3">
        <v>15</v>
      </c>
      <c r="B19" s="4">
        <v>13288707</v>
      </c>
      <c r="C19" s="4">
        <v>5178272</v>
      </c>
      <c r="D19" s="7">
        <f>GETPIVOTDATA("Sum of conversions",$A$3,"week",15)/GETPIVOTDATA("Sum of visits",$A$3,"week",15)</f>
        <v>0.38967463124892437</v>
      </c>
    </row>
    <row r="20" spans="1:4" x14ac:dyDescent="0.25">
      <c r="A20" s="3">
        <v>16</v>
      </c>
      <c r="B20" s="4">
        <v>14095195</v>
      </c>
      <c r="C20" s="4">
        <v>5473906</v>
      </c>
      <c r="D20" s="7">
        <f>GETPIVOTDATA("Sum of conversions",$A$3,"week",16)/GETPIVOTDATA("Sum of visits",$A$3,"week",16)</f>
        <v>0.38835262655110481</v>
      </c>
    </row>
    <row r="21" spans="1:4" x14ac:dyDescent="0.25">
      <c r="A21" s="3">
        <v>17</v>
      </c>
      <c r="B21" s="4">
        <v>14904897</v>
      </c>
      <c r="C21" s="4">
        <v>5759956</v>
      </c>
      <c r="D21" s="7">
        <f>GETPIVOTDATA("Sum of conversions",$A$3,"week",17)/GETPIVOTDATA("Sum of visits",$A$3,"week",17)</f>
        <v>0.38644721932664144</v>
      </c>
    </row>
    <row r="22" spans="1:4" x14ac:dyDescent="0.25">
      <c r="A22" s="3">
        <v>18</v>
      </c>
      <c r="B22" s="4">
        <v>15718974</v>
      </c>
      <c r="C22" s="4">
        <v>6055103</v>
      </c>
      <c r="D22" s="7">
        <f>GETPIVOTDATA("Sum of conversions",$A$3,"week",18)/GETPIVOTDATA("Sum of visits",$A$3,"week",18)</f>
        <v>0.38520981076754757</v>
      </c>
    </row>
    <row r="23" spans="1:4" x14ac:dyDescent="0.25">
      <c r="A23" s="3">
        <v>19</v>
      </c>
      <c r="B23" s="4">
        <v>16539360</v>
      </c>
      <c r="C23" s="4">
        <v>6343061</v>
      </c>
      <c r="D23" s="7">
        <f>GETPIVOTDATA("Sum of conversions",$A$3,"week",19)/GETPIVOTDATA("Sum of visits",$A$3,"week",19)</f>
        <v>0.3835130863588434</v>
      </c>
    </row>
    <row r="24" spans="1:4" x14ac:dyDescent="0.25">
      <c r="A24" s="3" t="s">
        <v>20</v>
      </c>
      <c r="B24" s="4">
        <v>175682388</v>
      </c>
      <c r="C24" s="4">
        <v>68066839</v>
      </c>
      <c r="D24" s="7">
        <f>GETPIVOTDATA("Sum of conversions",$A$3)/GETPIVOTDATA("Sum of visits",$A$3)</f>
        <v>0.38744258758595657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9331-867F-4704-9F95-92383C9308C2}">
  <sheetPr>
    <tabColor theme="4" tint="0.59999389629810485"/>
  </sheetPr>
  <dimension ref="A1:E203"/>
  <sheetViews>
    <sheetView tabSelected="1" workbookViewId="0">
      <selection activeCell="S25" sqref="S25"/>
    </sheetView>
  </sheetViews>
  <sheetFormatPr defaultRowHeight="13.2" x14ac:dyDescent="0.25"/>
  <cols>
    <col min="1" max="1" width="9" bestFit="1" customWidth="1"/>
    <col min="2" max="2" width="10.44140625" bestFit="1" customWidth="1"/>
    <col min="3" max="3" width="10" bestFit="1" customWidth="1"/>
    <col min="4" max="4" width="9" bestFit="1" customWidth="1"/>
    <col min="5" max="5" width="13.88671875" bestFit="1" customWidth="1"/>
  </cols>
  <sheetData>
    <row r="1" spans="1:5" x14ac:dyDescent="0.25">
      <c r="A1" s="8" t="s">
        <v>25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>
        <v>19</v>
      </c>
      <c r="B4" t="s">
        <v>18</v>
      </c>
      <c r="C4" t="s">
        <v>15</v>
      </c>
      <c r="D4">
        <v>100934</v>
      </c>
      <c r="E4">
        <v>39083</v>
      </c>
    </row>
    <row r="5" spans="1:5" x14ac:dyDescent="0.25">
      <c r="A5">
        <v>19</v>
      </c>
      <c r="B5" t="s">
        <v>18</v>
      </c>
      <c r="C5" t="s">
        <v>14</v>
      </c>
      <c r="D5">
        <v>108845</v>
      </c>
      <c r="E5">
        <v>2004</v>
      </c>
    </row>
    <row r="6" spans="1:5" x14ac:dyDescent="0.25">
      <c r="A6">
        <v>19</v>
      </c>
      <c r="B6" t="s">
        <v>18</v>
      </c>
      <c r="C6" t="s">
        <v>13</v>
      </c>
      <c r="D6">
        <v>446162</v>
      </c>
      <c r="E6">
        <v>131210</v>
      </c>
    </row>
    <row r="7" spans="1:5" x14ac:dyDescent="0.25">
      <c r="A7">
        <v>19</v>
      </c>
      <c r="B7" t="s">
        <v>18</v>
      </c>
      <c r="C7" t="s">
        <v>12</v>
      </c>
      <c r="D7">
        <v>33494</v>
      </c>
      <c r="E7">
        <v>3264</v>
      </c>
    </row>
    <row r="8" spans="1:5" x14ac:dyDescent="0.25">
      <c r="A8">
        <v>19</v>
      </c>
      <c r="B8" t="s">
        <v>18</v>
      </c>
      <c r="C8" t="s">
        <v>11</v>
      </c>
      <c r="D8">
        <v>71053</v>
      </c>
      <c r="E8">
        <v>5881</v>
      </c>
    </row>
    <row r="9" spans="1:5" x14ac:dyDescent="0.25">
      <c r="A9">
        <v>19</v>
      </c>
      <c r="B9" t="s">
        <v>18</v>
      </c>
      <c r="C9" t="s">
        <v>10</v>
      </c>
      <c r="D9">
        <v>108866</v>
      </c>
      <c r="E9">
        <v>74904</v>
      </c>
    </row>
    <row r="10" spans="1:5" x14ac:dyDescent="0.25">
      <c r="A10">
        <v>19</v>
      </c>
      <c r="B10" t="s">
        <v>18</v>
      </c>
      <c r="C10" t="s">
        <v>9</v>
      </c>
      <c r="D10">
        <v>445279</v>
      </c>
      <c r="E10">
        <v>90823</v>
      </c>
    </row>
    <row r="11" spans="1:5" x14ac:dyDescent="0.25">
      <c r="A11">
        <v>19</v>
      </c>
      <c r="B11" t="s">
        <v>18</v>
      </c>
      <c r="C11" t="s">
        <v>8</v>
      </c>
      <c r="D11">
        <v>697009</v>
      </c>
      <c r="E11">
        <v>414169</v>
      </c>
    </row>
    <row r="12" spans="1:5" x14ac:dyDescent="0.25">
      <c r="A12">
        <v>19</v>
      </c>
      <c r="B12" t="s">
        <v>18</v>
      </c>
      <c r="C12" t="s">
        <v>7</v>
      </c>
      <c r="D12">
        <v>71385</v>
      </c>
      <c r="E12">
        <v>6791</v>
      </c>
    </row>
    <row r="13" spans="1:5" x14ac:dyDescent="0.25">
      <c r="A13">
        <v>19</v>
      </c>
      <c r="B13" t="s">
        <v>18</v>
      </c>
      <c r="C13" t="s">
        <v>6</v>
      </c>
      <c r="D13">
        <v>923877</v>
      </c>
      <c r="E13">
        <v>56605</v>
      </c>
    </row>
    <row r="14" spans="1:5" x14ac:dyDescent="0.25">
      <c r="A14">
        <v>18</v>
      </c>
      <c r="B14" t="s">
        <v>18</v>
      </c>
      <c r="C14" t="s">
        <v>15</v>
      </c>
      <c r="D14">
        <v>94939</v>
      </c>
      <c r="E14">
        <v>37148</v>
      </c>
    </row>
    <row r="15" spans="1:5" x14ac:dyDescent="0.25">
      <c r="A15">
        <v>18</v>
      </c>
      <c r="B15" t="s">
        <v>18</v>
      </c>
      <c r="C15" t="s">
        <v>14</v>
      </c>
      <c r="D15">
        <v>104466</v>
      </c>
      <c r="E15">
        <v>1984</v>
      </c>
    </row>
    <row r="16" spans="1:5" x14ac:dyDescent="0.25">
      <c r="A16">
        <v>18</v>
      </c>
      <c r="B16" t="s">
        <v>18</v>
      </c>
      <c r="C16" t="s">
        <v>13</v>
      </c>
      <c r="D16">
        <v>422760</v>
      </c>
      <c r="E16">
        <v>124839</v>
      </c>
    </row>
    <row r="17" spans="1:5" x14ac:dyDescent="0.25">
      <c r="A17">
        <v>18</v>
      </c>
      <c r="B17" t="s">
        <v>18</v>
      </c>
      <c r="C17" t="s">
        <v>12</v>
      </c>
      <c r="D17">
        <v>32000</v>
      </c>
      <c r="E17">
        <v>3072</v>
      </c>
    </row>
    <row r="18" spans="1:5" x14ac:dyDescent="0.25">
      <c r="A18">
        <v>18</v>
      </c>
      <c r="B18" t="s">
        <v>18</v>
      </c>
      <c r="C18" t="s">
        <v>11</v>
      </c>
      <c r="D18">
        <v>67690</v>
      </c>
      <c r="E18">
        <v>5563</v>
      </c>
    </row>
    <row r="19" spans="1:5" x14ac:dyDescent="0.25">
      <c r="A19">
        <v>18</v>
      </c>
      <c r="B19" t="s">
        <v>18</v>
      </c>
      <c r="C19" t="s">
        <v>10</v>
      </c>
      <c r="D19">
        <v>104921</v>
      </c>
      <c r="E19">
        <v>72370</v>
      </c>
    </row>
    <row r="20" spans="1:5" x14ac:dyDescent="0.25">
      <c r="A20">
        <v>18</v>
      </c>
      <c r="B20" t="s">
        <v>18</v>
      </c>
      <c r="C20" t="s">
        <v>9</v>
      </c>
      <c r="D20">
        <v>422301</v>
      </c>
      <c r="E20">
        <v>86366</v>
      </c>
    </row>
    <row r="21" spans="1:5" x14ac:dyDescent="0.25">
      <c r="A21">
        <v>18</v>
      </c>
      <c r="B21" t="s">
        <v>18</v>
      </c>
      <c r="C21" t="s">
        <v>8</v>
      </c>
      <c r="D21">
        <v>664887</v>
      </c>
      <c r="E21">
        <v>396227</v>
      </c>
    </row>
    <row r="22" spans="1:5" x14ac:dyDescent="0.25">
      <c r="A22">
        <v>18</v>
      </c>
      <c r="B22" t="s">
        <v>18</v>
      </c>
      <c r="C22" t="s">
        <v>7</v>
      </c>
      <c r="D22">
        <v>68138</v>
      </c>
      <c r="E22">
        <v>6658</v>
      </c>
    </row>
    <row r="23" spans="1:5" x14ac:dyDescent="0.25">
      <c r="A23">
        <v>18</v>
      </c>
      <c r="B23" t="s">
        <v>18</v>
      </c>
      <c r="C23" t="s">
        <v>6</v>
      </c>
      <c r="D23">
        <v>876856</v>
      </c>
      <c r="E23">
        <v>54509</v>
      </c>
    </row>
    <row r="24" spans="1:5" x14ac:dyDescent="0.25">
      <c r="A24">
        <v>17</v>
      </c>
      <c r="B24" t="s">
        <v>18</v>
      </c>
      <c r="C24" t="s">
        <v>15</v>
      </c>
      <c r="D24">
        <v>89638</v>
      </c>
      <c r="E24">
        <v>35231</v>
      </c>
    </row>
    <row r="25" spans="1:5" x14ac:dyDescent="0.25">
      <c r="A25">
        <v>17</v>
      </c>
      <c r="B25" t="s">
        <v>18</v>
      </c>
      <c r="C25" t="s">
        <v>14</v>
      </c>
      <c r="D25">
        <v>100281</v>
      </c>
      <c r="E25">
        <v>1951</v>
      </c>
    </row>
    <row r="26" spans="1:5" x14ac:dyDescent="0.25">
      <c r="A26">
        <v>17</v>
      </c>
      <c r="B26" t="s">
        <v>18</v>
      </c>
      <c r="C26" t="s">
        <v>13</v>
      </c>
      <c r="D26">
        <v>400249</v>
      </c>
      <c r="E26">
        <v>118270</v>
      </c>
    </row>
    <row r="27" spans="1:5" x14ac:dyDescent="0.25">
      <c r="A27">
        <v>17</v>
      </c>
      <c r="B27" t="s">
        <v>18</v>
      </c>
      <c r="C27" t="s">
        <v>12</v>
      </c>
      <c r="D27">
        <v>30842</v>
      </c>
      <c r="E27">
        <v>3035</v>
      </c>
    </row>
    <row r="28" spans="1:5" x14ac:dyDescent="0.25">
      <c r="A28">
        <v>17</v>
      </c>
      <c r="B28" t="s">
        <v>18</v>
      </c>
      <c r="C28" t="s">
        <v>11</v>
      </c>
      <c r="D28">
        <v>64292</v>
      </c>
      <c r="E28">
        <v>5438</v>
      </c>
    </row>
    <row r="29" spans="1:5" x14ac:dyDescent="0.25">
      <c r="A29">
        <v>17</v>
      </c>
      <c r="B29" t="s">
        <v>18</v>
      </c>
      <c r="C29" t="s">
        <v>10</v>
      </c>
      <c r="D29">
        <v>100314</v>
      </c>
      <c r="E29">
        <v>69491</v>
      </c>
    </row>
    <row r="30" spans="1:5" x14ac:dyDescent="0.25">
      <c r="A30">
        <v>17</v>
      </c>
      <c r="B30" t="s">
        <v>18</v>
      </c>
      <c r="C30" t="s">
        <v>9</v>
      </c>
      <c r="D30">
        <v>400771</v>
      </c>
      <c r="E30">
        <v>82276</v>
      </c>
    </row>
    <row r="31" spans="1:5" x14ac:dyDescent="0.25">
      <c r="A31">
        <v>17</v>
      </c>
      <c r="B31" t="s">
        <v>18</v>
      </c>
      <c r="C31" t="s">
        <v>8</v>
      </c>
      <c r="D31">
        <v>632797</v>
      </c>
      <c r="E31">
        <v>377942</v>
      </c>
    </row>
    <row r="32" spans="1:5" x14ac:dyDescent="0.25">
      <c r="A32">
        <v>17</v>
      </c>
      <c r="B32" t="s">
        <v>18</v>
      </c>
      <c r="C32" t="s">
        <v>7</v>
      </c>
      <c r="D32">
        <v>64018</v>
      </c>
      <c r="E32">
        <v>6333</v>
      </c>
    </row>
    <row r="33" spans="1:5" x14ac:dyDescent="0.25">
      <c r="A33">
        <v>17</v>
      </c>
      <c r="B33" t="s">
        <v>18</v>
      </c>
      <c r="C33" t="s">
        <v>6</v>
      </c>
      <c r="D33">
        <v>827600</v>
      </c>
      <c r="E33">
        <v>51668</v>
      </c>
    </row>
    <row r="34" spans="1:5" x14ac:dyDescent="0.25">
      <c r="A34">
        <v>0</v>
      </c>
      <c r="B34" t="s">
        <v>18</v>
      </c>
      <c r="C34" t="s">
        <v>6</v>
      </c>
      <c r="D34">
        <v>80796</v>
      </c>
      <c r="E34">
        <v>5707</v>
      </c>
    </row>
    <row r="35" spans="1:5" x14ac:dyDescent="0.25">
      <c r="A35">
        <v>0</v>
      </c>
      <c r="B35" t="s">
        <v>18</v>
      </c>
      <c r="C35" t="s">
        <v>7</v>
      </c>
      <c r="D35">
        <v>6002</v>
      </c>
      <c r="E35">
        <v>690</v>
      </c>
    </row>
    <row r="36" spans="1:5" x14ac:dyDescent="0.25">
      <c r="A36">
        <v>0</v>
      </c>
      <c r="B36" t="s">
        <v>18</v>
      </c>
      <c r="C36" t="s">
        <v>8</v>
      </c>
      <c r="D36">
        <v>34200</v>
      </c>
      <c r="E36">
        <v>21533</v>
      </c>
    </row>
    <row r="37" spans="1:5" x14ac:dyDescent="0.25">
      <c r="A37">
        <v>0</v>
      </c>
      <c r="B37" t="s">
        <v>18</v>
      </c>
      <c r="C37" t="s">
        <v>9</v>
      </c>
      <c r="D37">
        <v>40364</v>
      </c>
      <c r="E37">
        <v>9327</v>
      </c>
    </row>
    <row r="38" spans="1:5" x14ac:dyDescent="0.25">
      <c r="A38">
        <v>0</v>
      </c>
      <c r="B38" t="s">
        <v>18</v>
      </c>
      <c r="C38" t="s">
        <v>10</v>
      </c>
      <c r="D38">
        <v>11839</v>
      </c>
      <c r="E38">
        <v>8651</v>
      </c>
    </row>
    <row r="39" spans="1:5" x14ac:dyDescent="0.25">
      <c r="A39">
        <v>0</v>
      </c>
      <c r="B39" t="s">
        <v>18</v>
      </c>
      <c r="C39" t="s">
        <v>11</v>
      </c>
      <c r="D39">
        <v>6103</v>
      </c>
      <c r="E39">
        <v>554</v>
      </c>
    </row>
    <row r="40" spans="1:5" x14ac:dyDescent="0.25">
      <c r="A40">
        <v>0</v>
      </c>
      <c r="B40" t="s">
        <v>18</v>
      </c>
      <c r="C40" t="s">
        <v>12</v>
      </c>
      <c r="D40">
        <v>3997</v>
      </c>
      <c r="E40">
        <v>439</v>
      </c>
    </row>
    <row r="41" spans="1:5" x14ac:dyDescent="0.25">
      <c r="A41">
        <v>0</v>
      </c>
      <c r="B41" t="s">
        <v>18</v>
      </c>
      <c r="C41" t="s">
        <v>13</v>
      </c>
      <c r="D41">
        <v>39899</v>
      </c>
      <c r="E41">
        <v>12242</v>
      </c>
    </row>
    <row r="42" spans="1:5" x14ac:dyDescent="0.25">
      <c r="A42">
        <v>0</v>
      </c>
      <c r="B42" t="s">
        <v>18</v>
      </c>
      <c r="C42" t="s">
        <v>14</v>
      </c>
      <c r="D42">
        <v>12129</v>
      </c>
      <c r="E42">
        <v>414</v>
      </c>
    </row>
    <row r="43" spans="1:5" x14ac:dyDescent="0.25">
      <c r="A43">
        <v>0</v>
      </c>
      <c r="B43" t="s">
        <v>18</v>
      </c>
      <c r="C43" t="s">
        <v>15</v>
      </c>
      <c r="D43">
        <v>8156</v>
      </c>
      <c r="E43">
        <v>3286</v>
      </c>
    </row>
    <row r="44" spans="1:5" x14ac:dyDescent="0.25">
      <c r="A44">
        <v>16</v>
      </c>
      <c r="B44" t="s">
        <v>18</v>
      </c>
      <c r="C44" t="s">
        <v>15</v>
      </c>
      <c r="D44">
        <v>84477</v>
      </c>
      <c r="E44">
        <v>33241</v>
      </c>
    </row>
    <row r="45" spans="1:5" x14ac:dyDescent="0.25">
      <c r="A45">
        <v>16</v>
      </c>
      <c r="B45" t="s">
        <v>18</v>
      </c>
      <c r="C45" t="s">
        <v>14</v>
      </c>
      <c r="D45">
        <v>95762</v>
      </c>
      <c r="E45">
        <v>2004</v>
      </c>
    </row>
    <row r="46" spans="1:5" x14ac:dyDescent="0.25">
      <c r="A46">
        <v>16</v>
      </c>
      <c r="B46" t="s">
        <v>18</v>
      </c>
      <c r="C46" t="s">
        <v>13</v>
      </c>
      <c r="D46">
        <v>378980</v>
      </c>
      <c r="E46">
        <v>111620</v>
      </c>
    </row>
    <row r="47" spans="1:5" x14ac:dyDescent="0.25">
      <c r="A47">
        <v>16</v>
      </c>
      <c r="B47" t="s">
        <v>18</v>
      </c>
      <c r="C47" t="s">
        <v>12</v>
      </c>
      <c r="D47">
        <v>30076</v>
      </c>
      <c r="E47">
        <v>3015</v>
      </c>
    </row>
    <row r="48" spans="1:5" x14ac:dyDescent="0.25">
      <c r="A48">
        <v>16</v>
      </c>
      <c r="B48" t="s">
        <v>18</v>
      </c>
      <c r="C48" t="s">
        <v>11</v>
      </c>
      <c r="D48">
        <v>59845</v>
      </c>
      <c r="E48">
        <v>5002</v>
      </c>
    </row>
    <row r="49" spans="1:5" x14ac:dyDescent="0.25">
      <c r="A49">
        <v>16</v>
      </c>
      <c r="B49" t="s">
        <v>18</v>
      </c>
      <c r="C49" t="s">
        <v>10</v>
      </c>
      <c r="D49">
        <v>96043</v>
      </c>
      <c r="E49">
        <v>66723</v>
      </c>
    </row>
    <row r="50" spans="1:5" x14ac:dyDescent="0.25">
      <c r="A50">
        <v>16</v>
      </c>
      <c r="B50" t="s">
        <v>18</v>
      </c>
      <c r="C50" t="s">
        <v>9</v>
      </c>
      <c r="D50">
        <v>377828</v>
      </c>
      <c r="E50">
        <v>78196</v>
      </c>
    </row>
    <row r="51" spans="1:5" x14ac:dyDescent="0.25">
      <c r="A51">
        <v>16</v>
      </c>
      <c r="B51" t="s">
        <v>18</v>
      </c>
      <c r="C51" t="s">
        <v>8</v>
      </c>
      <c r="D51">
        <v>599820</v>
      </c>
      <c r="E51">
        <v>359603</v>
      </c>
    </row>
    <row r="52" spans="1:5" x14ac:dyDescent="0.25">
      <c r="A52">
        <v>16</v>
      </c>
      <c r="B52" t="s">
        <v>18</v>
      </c>
      <c r="C52" t="s">
        <v>7</v>
      </c>
      <c r="D52">
        <v>60296</v>
      </c>
      <c r="E52">
        <v>5885</v>
      </c>
    </row>
    <row r="53" spans="1:5" x14ac:dyDescent="0.25">
      <c r="A53">
        <v>16</v>
      </c>
      <c r="B53" t="s">
        <v>18</v>
      </c>
      <c r="C53" t="s">
        <v>6</v>
      </c>
      <c r="D53">
        <v>781667</v>
      </c>
      <c r="E53">
        <v>49394</v>
      </c>
    </row>
    <row r="54" spans="1:5" x14ac:dyDescent="0.25">
      <c r="A54">
        <v>15</v>
      </c>
      <c r="B54" t="s">
        <v>18</v>
      </c>
      <c r="C54" t="s">
        <v>15</v>
      </c>
      <c r="D54">
        <v>78460</v>
      </c>
      <c r="E54">
        <v>30903</v>
      </c>
    </row>
    <row r="55" spans="1:5" x14ac:dyDescent="0.25">
      <c r="A55">
        <v>15</v>
      </c>
      <c r="B55" t="s">
        <v>18</v>
      </c>
      <c r="C55" t="s">
        <v>14</v>
      </c>
      <c r="D55">
        <v>90905</v>
      </c>
      <c r="E55">
        <v>1931</v>
      </c>
    </row>
    <row r="56" spans="1:5" x14ac:dyDescent="0.25">
      <c r="A56">
        <v>15</v>
      </c>
      <c r="B56" t="s">
        <v>18</v>
      </c>
      <c r="C56" t="s">
        <v>13</v>
      </c>
      <c r="D56">
        <v>355628</v>
      </c>
      <c r="E56">
        <v>105304</v>
      </c>
    </row>
    <row r="57" spans="1:5" x14ac:dyDescent="0.25">
      <c r="A57">
        <v>15</v>
      </c>
      <c r="B57" t="s">
        <v>18</v>
      </c>
      <c r="C57" t="s">
        <v>12</v>
      </c>
      <c r="D57">
        <v>28690</v>
      </c>
      <c r="E57">
        <v>2775</v>
      </c>
    </row>
    <row r="58" spans="1:5" x14ac:dyDescent="0.25">
      <c r="A58">
        <v>15</v>
      </c>
      <c r="B58" t="s">
        <v>18</v>
      </c>
      <c r="C58" t="s">
        <v>11</v>
      </c>
      <c r="D58">
        <v>56416</v>
      </c>
      <c r="E58">
        <v>4684</v>
      </c>
    </row>
    <row r="59" spans="1:5" x14ac:dyDescent="0.25">
      <c r="A59">
        <v>15</v>
      </c>
      <c r="B59" t="s">
        <v>18</v>
      </c>
      <c r="C59" t="s">
        <v>10</v>
      </c>
      <c r="D59">
        <v>91130</v>
      </c>
      <c r="E59">
        <v>63082</v>
      </c>
    </row>
    <row r="60" spans="1:5" x14ac:dyDescent="0.25">
      <c r="A60">
        <v>15</v>
      </c>
      <c r="B60" t="s">
        <v>18</v>
      </c>
      <c r="C60" t="s">
        <v>9</v>
      </c>
      <c r="D60">
        <v>356508</v>
      </c>
      <c r="E60">
        <v>74398</v>
      </c>
    </row>
    <row r="61" spans="1:5" x14ac:dyDescent="0.25">
      <c r="A61">
        <v>15</v>
      </c>
      <c r="B61" t="s">
        <v>18</v>
      </c>
      <c r="C61" t="s">
        <v>8</v>
      </c>
      <c r="D61">
        <v>567210</v>
      </c>
      <c r="E61">
        <v>340680</v>
      </c>
    </row>
    <row r="62" spans="1:5" x14ac:dyDescent="0.25">
      <c r="A62">
        <v>15</v>
      </c>
      <c r="B62" t="s">
        <v>18</v>
      </c>
      <c r="C62" t="s">
        <v>7</v>
      </c>
      <c r="D62">
        <v>56539</v>
      </c>
      <c r="E62">
        <v>5568</v>
      </c>
    </row>
    <row r="63" spans="1:5" x14ac:dyDescent="0.25">
      <c r="A63">
        <v>15</v>
      </c>
      <c r="B63" t="s">
        <v>18</v>
      </c>
      <c r="C63" t="s">
        <v>6</v>
      </c>
      <c r="D63">
        <v>734870</v>
      </c>
      <c r="E63">
        <v>46488</v>
      </c>
    </row>
    <row r="64" spans="1:5" x14ac:dyDescent="0.25">
      <c r="A64">
        <v>14</v>
      </c>
      <c r="B64" t="s">
        <v>18</v>
      </c>
      <c r="C64" t="s">
        <v>15</v>
      </c>
      <c r="D64">
        <v>73517</v>
      </c>
      <c r="E64">
        <v>29065</v>
      </c>
    </row>
    <row r="65" spans="1:5" x14ac:dyDescent="0.25">
      <c r="A65">
        <v>14</v>
      </c>
      <c r="B65" t="s">
        <v>18</v>
      </c>
      <c r="C65" t="s">
        <v>14</v>
      </c>
      <c r="D65">
        <v>85949</v>
      </c>
      <c r="E65">
        <v>1858</v>
      </c>
    </row>
    <row r="66" spans="1:5" x14ac:dyDescent="0.25">
      <c r="A66">
        <v>14</v>
      </c>
      <c r="B66" t="s">
        <v>18</v>
      </c>
      <c r="C66" t="s">
        <v>13</v>
      </c>
      <c r="D66">
        <v>334724</v>
      </c>
      <c r="E66">
        <v>99415</v>
      </c>
    </row>
    <row r="67" spans="1:5" x14ac:dyDescent="0.25">
      <c r="A67">
        <v>14</v>
      </c>
      <c r="B67" t="s">
        <v>18</v>
      </c>
      <c r="C67" t="s">
        <v>12</v>
      </c>
      <c r="D67">
        <v>27034</v>
      </c>
      <c r="E67">
        <v>2651</v>
      </c>
    </row>
    <row r="68" spans="1:5" x14ac:dyDescent="0.25">
      <c r="A68">
        <v>14</v>
      </c>
      <c r="B68" t="s">
        <v>18</v>
      </c>
      <c r="C68" t="s">
        <v>11</v>
      </c>
      <c r="D68">
        <v>52634</v>
      </c>
      <c r="E68">
        <v>4431</v>
      </c>
    </row>
    <row r="69" spans="1:5" x14ac:dyDescent="0.25">
      <c r="A69">
        <v>14</v>
      </c>
      <c r="B69" t="s">
        <v>18</v>
      </c>
      <c r="C69" t="s">
        <v>10</v>
      </c>
      <c r="D69">
        <v>86389</v>
      </c>
      <c r="E69">
        <v>60359</v>
      </c>
    </row>
    <row r="70" spans="1:5" x14ac:dyDescent="0.25">
      <c r="A70">
        <v>14</v>
      </c>
      <c r="B70" t="s">
        <v>18</v>
      </c>
      <c r="C70" t="s">
        <v>9</v>
      </c>
      <c r="D70">
        <v>334067</v>
      </c>
      <c r="E70">
        <v>69987</v>
      </c>
    </row>
    <row r="71" spans="1:5" x14ac:dyDescent="0.25">
      <c r="A71">
        <v>14</v>
      </c>
      <c r="B71" t="s">
        <v>18</v>
      </c>
      <c r="C71" t="s">
        <v>8</v>
      </c>
      <c r="D71">
        <v>534271</v>
      </c>
      <c r="E71">
        <v>322099</v>
      </c>
    </row>
    <row r="72" spans="1:5" x14ac:dyDescent="0.25">
      <c r="A72">
        <v>14</v>
      </c>
      <c r="B72" t="s">
        <v>18</v>
      </c>
      <c r="C72" t="s">
        <v>7</v>
      </c>
      <c r="D72">
        <v>52886</v>
      </c>
      <c r="E72">
        <v>5248</v>
      </c>
    </row>
    <row r="73" spans="1:5" x14ac:dyDescent="0.25">
      <c r="A73">
        <v>14</v>
      </c>
      <c r="B73" t="s">
        <v>18</v>
      </c>
      <c r="C73" t="s">
        <v>6</v>
      </c>
      <c r="D73">
        <v>687345</v>
      </c>
      <c r="E73">
        <v>44054</v>
      </c>
    </row>
    <row r="74" spans="1:5" x14ac:dyDescent="0.25">
      <c r="A74">
        <v>1</v>
      </c>
      <c r="B74" t="s">
        <v>18</v>
      </c>
      <c r="C74" t="s">
        <v>6</v>
      </c>
      <c r="D74">
        <v>120845</v>
      </c>
      <c r="E74">
        <v>8336</v>
      </c>
    </row>
    <row r="75" spans="1:5" x14ac:dyDescent="0.25">
      <c r="A75">
        <v>1</v>
      </c>
      <c r="B75" t="s">
        <v>18</v>
      </c>
      <c r="C75" t="s">
        <v>7</v>
      </c>
      <c r="D75">
        <v>9146</v>
      </c>
      <c r="E75">
        <v>1022</v>
      </c>
    </row>
    <row r="76" spans="1:5" x14ac:dyDescent="0.25">
      <c r="A76">
        <v>1</v>
      </c>
      <c r="B76" t="s">
        <v>18</v>
      </c>
      <c r="C76" t="s">
        <v>8</v>
      </c>
      <c r="D76">
        <v>50326</v>
      </c>
      <c r="E76">
        <v>31518</v>
      </c>
    </row>
    <row r="77" spans="1:5" x14ac:dyDescent="0.25">
      <c r="A77">
        <v>1</v>
      </c>
      <c r="B77" t="s">
        <v>18</v>
      </c>
      <c r="C77" t="s">
        <v>9</v>
      </c>
      <c r="D77">
        <v>60260</v>
      </c>
      <c r="E77">
        <v>13685</v>
      </c>
    </row>
    <row r="78" spans="1:5" x14ac:dyDescent="0.25">
      <c r="A78">
        <v>1</v>
      </c>
      <c r="B78" t="s">
        <v>18</v>
      </c>
      <c r="C78" t="s">
        <v>10</v>
      </c>
      <c r="D78">
        <v>17581</v>
      </c>
      <c r="E78">
        <v>12831</v>
      </c>
    </row>
    <row r="79" spans="1:5" x14ac:dyDescent="0.25">
      <c r="A79">
        <v>1</v>
      </c>
      <c r="B79" t="s">
        <v>18</v>
      </c>
      <c r="C79" t="s">
        <v>11</v>
      </c>
      <c r="D79">
        <v>9107</v>
      </c>
      <c r="E79">
        <v>840</v>
      </c>
    </row>
    <row r="80" spans="1:5" x14ac:dyDescent="0.25">
      <c r="A80">
        <v>1</v>
      </c>
      <c r="B80" t="s">
        <v>18</v>
      </c>
      <c r="C80" t="s">
        <v>12</v>
      </c>
      <c r="D80">
        <v>5851</v>
      </c>
      <c r="E80">
        <v>656</v>
      </c>
    </row>
    <row r="81" spans="1:5" x14ac:dyDescent="0.25">
      <c r="A81">
        <v>1</v>
      </c>
      <c r="B81" t="s">
        <v>18</v>
      </c>
      <c r="C81" t="s">
        <v>13</v>
      </c>
      <c r="D81">
        <v>60335</v>
      </c>
      <c r="E81">
        <v>18580</v>
      </c>
    </row>
    <row r="82" spans="1:5" x14ac:dyDescent="0.25">
      <c r="A82">
        <v>1</v>
      </c>
      <c r="B82" t="s">
        <v>18</v>
      </c>
      <c r="C82" t="s">
        <v>14</v>
      </c>
      <c r="D82">
        <v>17934</v>
      </c>
      <c r="E82">
        <v>575</v>
      </c>
    </row>
    <row r="83" spans="1:5" x14ac:dyDescent="0.25">
      <c r="A83">
        <v>1</v>
      </c>
      <c r="B83" t="s">
        <v>18</v>
      </c>
      <c r="C83" t="s">
        <v>15</v>
      </c>
      <c r="D83">
        <v>12255</v>
      </c>
      <c r="E83">
        <v>5024</v>
      </c>
    </row>
    <row r="84" spans="1:5" x14ac:dyDescent="0.25">
      <c r="A84">
        <v>13</v>
      </c>
      <c r="B84" t="s">
        <v>18</v>
      </c>
      <c r="C84" t="s">
        <v>15</v>
      </c>
      <c r="D84">
        <v>68415</v>
      </c>
      <c r="E84">
        <v>27372</v>
      </c>
    </row>
    <row r="85" spans="1:5" x14ac:dyDescent="0.25">
      <c r="A85">
        <v>13</v>
      </c>
      <c r="B85" t="s">
        <v>18</v>
      </c>
      <c r="C85" t="s">
        <v>14</v>
      </c>
      <c r="D85">
        <v>81688</v>
      </c>
      <c r="E85">
        <v>1838</v>
      </c>
    </row>
    <row r="86" spans="1:5" x14ac:dyDescent="0.25">
      <c r="A86">
        <v>13</v>
      </c>
      <c r="B86" t="s">
        <v>18</v>
      </c>
      <c r="C86" t="s">
        <v>13</v>
      </c>
      <c r="D86">
        <v>312058</v>
      </c>
      <c r="E86">
        <v>92654</v>
      </c>
    </row>
    <row r="87" spans="1:5" x14ac:dyDescent="0.25">
      <c r="A87">
        <v>13</v>
      </c>
      <c r="B87" t="s">
        <v>18</v>
      </c>
      <c r="C87" t="s">
        <v>12</v>
      </c>
      <c r="D87">
        <v>25869</v>
      </c>
      <c r="E87">
        <v>2653</v>
      </c>
    </row>
    <row r="88" spans="1:5" x14ac:dyDescent="0.25">
      <c r="A88">
        <v>13</v>
      </c>
      <c r="B88" t="s">
        <v>18</v>
      </c>
      <c r="C88" t="s">
        <v>11</v>
      </c>
      <c r="D88">
        <v>49267</v>
      </c>
      <c r="E88">
        <v>4209</v>
      </c>
    </row>
    <row r="89" spans="1:5" x14ac:dyDescent="0.25">
      <c r="A89">
        <v>13</v>
      </c>
      <c r="B89" t="s">
        <v>18</v>
      </c>
      <c r="C89" t="s">
        <v>10</v>
      </c>
      <c r="D89">
        <v>81605</v>
      </c>
      <c r="E89">
        <v>57125</v>
      </c>
    </row>
    <row r="90" spans="1:5" x14ac:dyDescent="0.25">
      <c r="A90">
        <v>13</v>
      </c>
      <c r="B90" t="s">
        <v>18</v>
      </c>
      <c r="C90" t="s">
        <v>9</v>
      </c>
      <c r="D90">
        <v>312123</v>
      </c>
      <c r="E90">
        <v>65770</v>
      </c>
    </row>
    <row r="91" spans="1:5" x14ac:dyDescent="0.25">
      <c r="A91">
        <v>13</v>
      </c>
      <c r="B91" t="s">
        <v>18</v>
      </c>
      <c r="C91" t="s">
        <v>8</v>
      </c>
      <c r="D91">
        <v>501078</v>
      </c>
      <c r="E91">
        <v>302433</v>
      </c>
    </row>
    <row r="92" spans="1:5" x14ac:dyDescent="0.25">
      <c r="A92">
        <v>13</v>
      </c>
      <c r="B92" t="s">
        <v>18</v>
      </c>
      <c r="C92" t="s">
        <v>7</v>
      </c>
      <c r="D92">
        <v>48990</v>
      </c>
      <c r="E92">
        <v>4884</v>
      </c>
    </row>
    <row r="93" spans="1:5" x14ac:dyDescent="0.25">
      <c r="A93">
        <v>13</v>
      </c>
      <c r="B93" t="s">
        <v>18</v>
      </c>
      <c r="C93" t="s">
        <v>6</v>
      </c>
      <c r="D93">
        <v>642994</v>
      </c>
      <c r="E93">
        <v>40921</v>
      </c>
    </row>
    <row r="94" spans="1:5" x14ac:dyDescent="0.25">
      <c r="A94">
        <v>12</v>
      </c>
      <c r="B94" t="s">
        <v>18</v>
      </c>
      <c r="C94" t="s">
        <v>15</v>
      </c>
      <c r="D94">
        <v>63150</v>
      </c>
      <c r="E94">
        <v>25360</v>
      </c>
    </row>
    <row r="95" spans="1:5" x14ac:dyDescent="0.25">
      <c r="A95">
        <v>12</v>
      </c>
      <c r="B95" t="s">
        <v>18</v>
      </c>
      <c r="C95" t="s">
        <v>14</v>
      </c>
      <c r="D95">
        <v>76438</v>
      </c>
      <c r="E95">
        <v>1739</v>
      </c>
    </row>
    <row r="96" spans="1:5" x14ac:dyDescent="0.25">
      <c r="A96">
        <v>12</v>
      </c>
      <c r="B96" t="s">
        <v>18</v>
      </c>
      <c r="C96" t="s">
        <v>13</v>
      </c>
      <c r="D96">
        <v>290222</v>
      </c>
      <c r="E96">
        <v>86714</v>
      </c>
    </row>
    <row r="97" spans="1:5" x14ac:dyDescent="0.25">
      <c r="A97">
        <v>12</v>
      </c>
      <c r="B97" t="s">
        <v>18</v>
      </c>
      <c r="C97" t="s">
        <v>12</v>
      </c>
      <c r="D97">
        <v>24342</v>
      </c>
      <c r="E97">
        <v>2520</v>
      </c>
    </row>
    <row r="98" spans="1:5" x14ac:dyDescent="0.25">
      <c r="A98">
        <v>12</v>
      </c>
      <c r="B98" t="s">
        <v>18</v>
      </c>
      <c r="C98" t="s">
        <v>11</v>
      </c>
      <c r="D98">
        <v>45993</v>
      </c>
      <c r="E98">
        <v>3878</v>
      </c>
    </row>
    <row r="99" spans="1:5" x14ac:dyDescent="0.25">
      <c r="A99">
        <v>12</v>
      </c>
      <c r="B99" t="s">
        <v>18</v>
      </c>
      <c r="C99" t="s">
        <v>10</v>
      </c>
      <c r="D99">
        <v>76675</v>
      </c>
      <c r="E99">
        <v>53782</v>
      </c>
    </row>
    <row r="100" spans="1:5" x14ac:dyDescent="0.25">
      <c r="A100">
        <v>12</v>
      </c>
      <c r="B100" t="s">
        <v>18</v>
      </c>
      <c r="C100" t="s">
        <v>9</v>
      </c>
      <c r="D100">
        <v>291131</v>
      </c>
      <c r="E100">
        <v>62088</v>
      </c>
    </row>
    <row r="101" spans="1:5" x14ac:dyDescent="0.25">
      <c r="A101">
        <v>12</v>
      </c>
      <c r="B101" t="s">
        <v>18</v>
      </c>
      <c r="C101" t="s">
        <v>8</v>
      </c>
      <c r="D101">
        <v>468643</v>
      </c>
      <c r="E101">
        <v>284538</v>
      </c>
    </row>
    <row r="102" spans="1:5" x14ac:dyDescent="0.25">
      <c r="A102">
        <v>12</v>
      </c>
      <c r="B102" t="s">
        <v>18</v>
      </c>
      <c r="C102" t="s">
        <v>7</v>
      </c>
      <c r="D102">
        <v>45338</v>
      </c>
      <c r="E102">
        <v>4687</v>
      </c>
    </row>
    <row r="103" spans="1:5" x14ac:dyDescent="0.25">
      <c r="A103">
        <v>12</v>
      </c>
      <c r="B103" t="s">
        <v>18</v>
      </c>
      <c r="C103" t="s">
        <v>6</v>
      </c>
      <c r="D103">
        <v>595428</v>
      </c>
      <c r="E103">
        <v>38143</v>
      </c>
    </row>
    <row r="104" spans="1:5" x14ac:dyDescent="0.25">
      <c r="A104">
        <v>11</v>
      </c>
      <c r="B104" t="s">
        <v>18</v>
      </c>
      <c r="C104" t="s">
        <v>15</v>
      </c>
      <c r="D104">
        <v>57958</v>
      </c>
      <c r="E104">
        <v>23108</v>
      </c>
    </row>
    <row r="105" spans="1:5" x14ac:dyDescent="0.25">
      <c r="A105">
        <v>11</v>
      </c>
      <c r="B105" t="s">
        <v>18</v>
      </c>
      <c r="C105" t="s">
        <v>14</v>
      </c>
      <c r="D105">
        <v>72100</v>
      </c>
      <c r="E105">
        <v>1721</v>
      </c>
    </row>
    <row r="106" spans="1:5" x14ac:dyDescent="0.25">
      <c r="A106">
        <v>11</v>
      </c>
      <c r="B106" t="s">
        <v>18</v>
      </c>
      <c r="C106" t="s">
        <v>13</v>
      </c>
      <c r="D106">
        <v>270020</v>
      </c>
      <c r="E106">
        <v>80853</v>
      </c>
    </row>
    <row r="107" spans="1:5" x14ac:dyDescent="0.25">
      <c r="A107">
        <v>11</v>
      </c>
      <c r="B107" t="s">
        <v>18</v>
      </c>
      <c r="C107" t="s">
        <v>12</v>
      </c>
      <c r="D107">
        <v>22893</v>
      </c>
      <c r="E107">
        <v>2347</v>
      </c>
    </row>
    <row r="108" spans="1:5" x14ac:dyDescent="0.25">
      <c r="A108">
        <v>11</v>
      </c>
      <c r="B108" t="s">
        <v>18</v>
      </c>
      <c r="C108" t="s">
        <v>11</v>
      </c>
      <c r="D108">
        <v>42152</v>
      </c>
      <c r="E108">
        <v>3663</v>
      </c>
    </row>
    <row r="109" spans="1:5" x14ac:dyDescent="0.25">
      <c r="A109">
        <v>11</v>
      </c>
      <c r="B109" t="s">
        <v>18</v>
      </c>
      <c r="C109" t="s">
        <v>10</v>
      </c>
      <c r="D109">
        <v>71229</v>
      </c>
      <c r="E109">
        <v>50078</v>
      </c>
    </row>
    <row r="110" spans="1:5" x14ac:dyDescent="0.25">
      <c r="A110">
        <v>11</v>
      </c>
      <c r="B110" t="s">
        <v>18</v>
      </c>
      <c r="C110" t="s">
        <v>9</v>
      </c>
      <c r="D110">
        <v>269645</v>
      </c>
      <c r="E110">
        <v>57846</v>
      </c>
    </row>
    <row r="111" spans="1:5" x14ac:dyDescent="0.25">
      <c r="A111">
        <v>11</v>
      </c>
      <c r="B111" t="s">
        <v>18</v>
      </c>
      <c r="C111" t="s">
        <v>8</v>
      </c>
      <c r="D111">
        <v>435595</v>
      </c>
      <c r="E111">
        <v>265345</v>
      </c>
    </row>
    <row r="112" spans="1:5" x14ac:dyDescent="0.25">
      <c r="A112">
        <v>11</v>
      </c>
      <c r="B112" t="s">
        <v>18</v>
      </c>
      <c r="C112" t="s">
        <v>7</v>
      </c>
      <c r="D112">
        <v>42220</v>
      </c>
      <c r="E112">
        <v>4328</v>
      </c>
    </row>
    <row r="113" spans="1:5" x14ac:dyDescent="0.25">
      <c r="A113">
        <v>11</v>
      </c>
      <c r="B113" t="s">
        <v>18</v>
      </c>
      <c r="C113" t="s">
        <v>6</v>
      </c>
      <c r="D113">
        <v>551530</v>
      </c>
      <c r="E113">
        <v>36045</v>
      </c>
    </row>
    <row r="114" spans="1:5" x14ac:dyDescent="0.25">
      <c r="A114">
        <v>2</v>
      </c>
      <c r="B114" t="s">
        <v>18</v>
      </c>
      <c r="C114" t="s">
        <v>6</v>
      </c>
      <c r="D114">
        <v>161883</v>
      </c>
      <c r="E114">
        <v>11031</v>
      </c>
    </row>
    <row r="115" spans="1:5" x14ac:dyDescent="0.25">
      <c r="A115">
        <v>2</v>
      </c>
      <c r="B115" t="s">
        <v>18</v>
      </c>
      <c r="C115" t="s">
        <v>7</v>
      </c>
      <c r="D115">
        <v>12412</v>
      </c>
      <c r="E115">
        <v>1420</v>
      </c>
    </row>
    <row r="116" spans="1:5" x14ac:dyDescent="0.25">
      <c r="A116">
        <v>2</v>
      </c>
      <c r="B116" t="s">
        <v>18</v>
      </c>
      <c r="C116" t="s">
        <v>8</v>
      </c>
      <c r="D116">
        <v>68021</v>
      </c>
      <c r="E116">
        <v>42675</v>
      </c>
    </row>
    <row r="117" spans="1:5" x14ac:dyDescent="0.25">
      <c r="A117">
        <v>2</v>
      </c>
      <c r="B117" t="s">
        <v>18</v>
      </c>
      <c r="C117" t="s">
        <v>9</v>
      </c>
      <c r="D117">
        <v>80478</v>
      </c>
      <c r="E117">
        <v>18418</v>
      </c>
    </row>
    <row r="118" spans="1:5" x14ac:dyDescent="0.25">
      <c r="A118">
        <v>2</v>
      </c>
      <c r="B118" t="s">
        <v>18</v>
      </c>
      <c r="C118" t="s">
        <v>10</v>
      </c>
      <c r="D118">
        <v>23529</v>
      </c>
      <c r="E118">
        <v>17073</v>
      </c>
    </row>
    <row r="119" spans="1:5" x14ac:dyDescent="0.25">
      <c r="A119">
        <v>2</v>
      </c>
      <c r="B119" t="s">
        <v>18</v>
      </c>
      <c r="C119" t="s">
        <v>11</v>
      </c>
      <c r="D119">
        <v>12112</v>
      </c>
      <c r="E119">
        <v>1089</v>
      </c>
    </row>
    <row r="120" spans="1:5" x14ac:dyDescent="0.25">
      <c r="A120">
        <v>2</v>
      </c>
      <c r="B120" t="s">
        <v>18</v>
      </c>
      <c r="C120" t="s">
        <v>12</v>
      </c>
      <c r="D120">
        <v>7696</v>
      </c>
      <c r="E120">
        <v>838</v>
      </c>
    </row>
    <row r="121" spans="1:5" x14ac:dyDescent="0.25">
      <c r="A121">
        <v>2</v>
      </c>
      <c r="B121" t="s">
        <v>18</v>
      </c>
      <c r="C121" t="s">
        <v>13</v>
      </c>
      <c r="D121">
        <v>81039</v>
      </c>
      <c r="E121">
        <v>24943</v>
      </c>
    </row>
    <row r="122" spans="1:5" x14ac:dyDescent="0.25">
      <c r="A122">
        <v>2</v>
      </c>
      <c r="B122" t="s">
        <v>18</v>
      </c>
      <c r="C122" t="s">
        <v>14</v>
      </c>
      <c r="D122">
        <v>23543</v>
      </c>
      <c r="E122">
        <v>767</v>
      </c>
    </row>
    <row r="123" spans="1:5" x14ac:dyDescent="0.25">
      <c r="A123">
        <v>2</v>
      </c>
      <c r="B123" t="s">
        <v>18</v>
      </c>
      <c r="C123" t="s">
        <v>15</v>
      </c>
      <c r="D123">
        <v>16482</v>
      </c>
      <c r="E123">
        <v>6652</v>
      </c>
    </row>
    <row r="124" spans="1:5" x14ac:dyDescent="0.25">
      <c r="A124">
        <v>10</v>
      </c>
      <c r="B124" t="s">
        <v>18</v>
      </c>
      <c r="C124" t="s">
        <v>15</v>
      </c>
      <c r="D124">
        <v>53340</v>
      </c>
      <c r="E124">
        <v>21305</v>
      </c>
    </row>
    <row r="125" spans="1:5" x14ac:dyDescent="0.25">
      <c r="A125">
        <v>10</v>
      </c>
      <c r="B125" t="s">
        <v>18</v>
      </c>
      <c r="C125" t="s">
        <v>14</v>
      </c>
      <c r="D125">
        <v>66708</v>
      </c>
      <c r="E125">
        <v>1713</v>
      </c>
    </row>
    <row r="126" spans="1:5" x14ac:dyDescent="0.25">
      <c r="A126">
        <v>10</v>
      </c>
      <c r="B126" t="s">
        <v>18</v>
      </c>
      <c r="C126" t="s">
        <v>13</v>
      </c>
      <c r="D126">
        <v>248797</v>
      </c>
      <c r="E126">
        <v>75088</v>
      </c>
    </row>
    <row r="127" spans="1:5" x14ac:dyDescent="0.25">
      <c r="A127">
        <v>10</v>
      </c>
      <c r="B127" t="s">
        <v>18</v>
      </c>
      <c r="C127" t="s">
        <v>12</v>
      </c>
      <c r="D127">
        <v>21309</v>
      </c>
      <c r="E127">
        <v>2251</v>
      </c>
    </row>
    <row r="128" spans="1:5" x14ac:dyDescent="0.25">
      <c r="A128">
        <v>10</v>
      </c>
      <c r="B128" t="s">
        <v>18</v>
      </c>
      <c r="C128" t="s">
        <v>11</v>
      </c>
      <c r="D128">
        <v>38951</v>
      </c>
      <c r="E128">
        <v>3356</v>
      </c>
    </row>
    <row r="129" spans="1:5" x14ac:dyDescent="0.25">
      <c r="A129">
        <v>10</v>
      </c>
      <c r="B129" t="s">
        <v>18</v>
      </c>
      <c r="C129" t="s">
        <v>10</v>
      </c>
      <c r="D129">
        <v>66669</v>
      </c>
      <c r="E129">
        <v>47282</v>
      </c>
    </row>
    <row r="130" spans="1:5" x14ac:dyDescent="0.25">
      <c r="A130">
        <v>10</v>
      </c>
      <c r="B130" t="s">
        <v>18</v>
      </c>
      <c r="C130" t="s">
        <v>9</v>
      </c>
      <c r="D130">
        <v>247575</v>
      </c>
      <c r="E130">
        <v>53198</v>
      </c>
    </row>
    <row r="131" spans="1:5" x14ac:dyDescent="0.25">
      <c r="A131">
        <v>10</v>
      </c>
      <c r="B131" t="s">
        <v>18</v>
      </c>
      <c r="C131" t="s">
        <v>8</v>
      </c>
      <c r="D131">
        <v>402349</v>
      </c>
      <c r="E131">
        <v>245952</v>
      </c>
    </row>
    <row r="132" spans="1:5" x14ac:dyDescent="0.25">
      <c r="A132">
        <v>10</v>
      </c>
      <c r="B132" t="s">
        <v>18</v>
      </c>
      <c r="C132" t="s">
        <v>7</v>
      </c>
      <c r="D132">
        <v>38974</v>
      </c>
      <c r="E132">
        <v>4051</v>
      </c>
    </row>
    <row r="133" spans="1:5" x14ac:dyDescent="0.25">
      <c r="A133">
        <v>10</v>
      </c>
      <c r="B133" t="s">
        <v>18</v>
      </c>
      <c r="C133" t="s">
        <v>6</v>
      </c>
      <c r="D133">
        <v>506177</v>
      </c>
      <c r="E133">
        <v>33032</v>
      </c>
    </row>
    <row r="134" spans="1:5" x14ac:dyDescent="0.25">
      <c r="A134">
        <v>9</v>
      </c>
      <c r="B134" t="s">
        <v>18</v>
      </c>
      <c r="C134" t="s">
        <v>15</v>
      </c>
      <c r="D134">
        <v>48363</v>
      </c>
      <c r="E134">
        <v>19344</v>
      </c>
    </row>
    <row r="135" spans="1:5" x14ac:dyDescent="0.25">
      <c r="A135">
        <v>9</v>
      </c>
      <c r="B135" t="s">
        <v>18</v>
      </c>
      <c r="C135" t="s">
        <v>14</v>
      </c>
      <c r="D135">
        <v>60994</v>
      </c>
      <c r="E135">
        <v>1585</v>
      </c>
    </row>
    <row r="136" spans="1:5" x14ac:dyDescent="0.25">
      <c r="A136">
        <v>9</v>
      </c>
      <c r="B136" t="s">
        <v>18</v>
      </c>
      <c r="C136" t="s">
        <v>13</v>
      </c>
      <c r="D136">
        <v>225887</v>
      </c>
      <c r="E136">
        <v>68471</v>
      </c>
    </row>
    <row r="137" spans="1:5" x14ac:dyDescent="0.25">
      <c r="A137">
        <v>9</v>
      </c>
      <c r="B137" t="s">
        <v>18</v>
      </c>
      <c r="C137" t="s">
        <v>12</v>
      </c>
      <c r="D137">
        <v>19702</v>
      </c>
      <c r="E137">
        <v>2001</v>
      </c>
    </row>
    <row r="138" spans="1:5" x14ac:dyDescent="0.25">
      <c r="A138">
        <v>9</v>
      </c>
      <c r="B138" t="s">
        <v>18</v>
      </c>
      <c r="C138" t="s">
        <v>11</v>
      </c>
      <c r="D138">
        <v>35178</v>
      </c>
      <c r="E138">
        <v>2979</v>
      </c>
    </row>
    <row r="139" spans="1:5" x14ac:dyDescent="0.25">
      <c r="A139">
        <v>9</v>
      </c>
      <c r="B139" t="s">
        <v>18</v>
      </c>
      <c r="C139" t="s">
        <v>10</v>
      </c>
      <c r="D139">
        <v>61399</v>
      </c>
      <c r="E139">
        <v>43573</v>
      </c>
    </row>
    <row r="140" spans="1:5" x14ac:dyDescent="0.25">
      <c r="A140">
        <v>9</v>
      </c>
      <c r="B140" t="s">
        <v>18</v>
      </c>
      <c r="C140" t="s">
        <v>9</v>
      </c>
      <c r="D140">
        <v>227181</v>
      </c>
      <c r="E140">
        <v>49102</v>
      </c>
    </row>
    <row r="141" spans="1:5" x14ac:dyDescent="0.25">
      <c r="A141">
        <v>9</v>
      </c>
      <c r="B141" t="s">
        <v>18</v>
      </c>
      <c r="C141" t="s">
        <v>8</v>
      </c>
      <c r="D141">
        <v>368969</v>
      </c>
      <c r="E141">
        <v>225722</v>
      </c>
    </row>
    <row r="142" spans="1:5" x14ac:dyDescent="0.25">
      <c r="A142">
        <v>9</v>
      </c>
      <c r="B142" t="s">
        <v>18</v>
      </c>
      <c r="C142" t="s">
        <v>7</v>
      </c>
      <c r="D142">
        <v>35204</v>
      </c>
      <c r="E142">
        <v>3713</v>
      </c>
    </row>
    <row r="143" spans="1:5" x14ac:dyDescent="0.25">
      <c r="A143">
        <v>9</v>
      </c>
      <c r="B143" t="s">
        <v>18</v>
      </c>
      <c r="C143" t="s">
        <v>6</v>
      </c>
      <c r="D143">
        <v>460972</v>
      </c>
      <c r="E143">
        <v>30499</v>
      </c>
    </row>
    <row r="144" spans="1:5" x14ac:dyDescent="0.25">
      <c r="A144">
        <v>8</v>
      </c>
      <c r="B144" t="s">
        <v>18</v>
      </c>
      <c r="C144" t="s">
        <v>15</v>
      </c>
      <c r="D144">
        <v>43522</v>
      </c>
      <c r="E144">
        <v>17360</v>
      </c>
    </row>
    <row r="145" spans="1:5" x14ac:dyDescent="0.25">
      <c r="A145">
        <v>8</v>
      </c>
      <c r="B145" t="s">
        <v>18</v>
      </c>
      <c r="C145" t="s">
        <v>14</v>
      </c>
      <c r="D145">
        <v>56629</v>
      </c>
      <c r="E145">
        <v>1464</v>
      </c>
    </row>
    <row r="146" spans="1:5" x14ac:dyDescent="0.25">
      <c r="A146">
        <v>8</v>
      </c>
      <c r="B146" t="s">
        <v>18</v>
      </c>
      <c r="C146" t="s">
        <v>13</v>
      </c>
      <c r="D146">
        <v>205916</v>
      </c>
      <c r="E146">
        <v>62811</v>
      </c>
    </row>
    <row r="147" spans="1:5" x14ac:dyDescent="0.25">
      <c r="A147">
        <v>8</v>
      </c>
      <c r="B147" t="s">
        <v>18</v>
      </c>
      <c r="C147" t="s">
        <v>12</v>
      </c>
      <c r="D147">
        <v>18085</v>
      </c>
      <c r="E147">
        <v>1866</v>
      </c>
    </row>
    <row r="148" spans="1:5" x14ac:dyDescent="0.25">
      <c r="A148">
        <v>8</v>
      </c>
      <c r="B148" t="s">
        <v>18</v>
      </c>
      <c r="C148" t="s">
        <v>11</v>
      </c>
      <c r="D148">
        <v>32075</v>
      </c>
      <c r="E148">
        <v>2858</v>
      </c>
    </row>
    <row r="149" spans="1:5" x14ac:dyDescent="0.25">
      <c r="A149">
        <v>8</v>
      </c>
      <c r="B149" t="s">
        <v>18</v>
      </c>
      <c r="C149" t="s">
        <v>10</v>
      </c>
      <c r="D149">
        <v>56664</v>
      </c>
      <c r="E149">
        <v>40235</v>
      </c>
    </row>
    <row r="150" spans="1:5" x14ac:dyDescent="0.25">
      <c r="A150">
        <v>8</v>
      </c>
      <c r="B150" t="s">
        <v>18</v>
      </c>
      <c r="C150" t="s">
        <v>9</v>
      </c>
      <c r="D150">
        <v>205336</v>
      </c>
      <c r="E150">
        <v>44455</v>
      </c>
    </row>
    <row r="151" spans="1:5" x14ac:dyDescent="0.25">
      <c r="A151">
        <v>8</v>
      </c>
      <c r="B151" t="s">
        <v>18</v>
      </c>
      <c r="C151" t="s">
        <v>8</v>
      </c>
      <c r="D151">
        <v>336775</v>
      </c>
      <c r="E151">
        <v>206622</v>
      </c>
    </row>
    <row r="152" spans="1:5" x14ac:dyDescent="0.25">
      <c r="A152">
        <v>8</v>
      </c>
      <c r="B152" t="s">
        <v>18</v>
      </c>
      <c r="C152" t="s">
        <v>7</v>
      </c>
      <c r="D152">
        <v>31758</v>
      </c>
      <c r="E152">
        <v>3371</v>
      </c>
    </row>
    <row r="153" spans="1:5" x14ac:dyDescent="0.25">
      <c r="A153">
        <v>8</v>
      </c>
      <c r="B153" t="s">
        <v>18</v>
      </c>
      <c r="C153" t="s">
        <v>6</v>
      </c>
      <c r="D153">
        <v>419892</v>
      </c>
      <c r="E153">
        <v>27777</v>
      </c>
    </row>
    <row r="154" spans="1:5" x14ac:dyDescent="0.25">
      <c r="A154">
        <v>3</v>
      </c>
      <c r="B154" t="s">
        <v>18</v>
      </c>
      <c r="C154" t="s">
        <v>6</v>
      </c>
      <c r="D154">
        <v>204109</v>
      </c>
      <c r="E154">
        <v>14017</v>
      </c>
    </row>
    <row r="155" spans="1:5" x14ac:dyDescent="0.25">
      <c r="A155">
        <v>3</v>
      </c>
      <c r="B155" t="s">
        <v>18</v>
      </c>
      <c r="C155" t="s">
        <v>7</v>
      </c>
      <c r="D155">
        <v>15547</v>
      </c>
      <c r="E155">
        <v>1647</v>
      </c>
    </row>
    <row r="156" spans="1:5" x14ac:dyDescent="0.25">
      <c r="A156">
        <v>3</v>
      </c>
      <c r="B156" t="s">
        <v>18</v>
      </c>
      <c r="C156" t="s">
        <v>8</v>
      </c>
      <c r="D156">
        <v>84455</v>
      </c>
      <c r="E156">
        <v>52524</v>
      </c>
    </row>
    <row r="157" spans="1:5" x14ac:dyDescent="0.25">
      <c r="A157">
        <v>3</v>
      </c>
      <c r="B157" t="s">
        <v>18</v>
      </c>
      <c r="C157" t="s">
        <v>9</v>
      </c>
      <c r="D157">
        <v>101489</v>
      </c>
      <c r="E157">
        <v>22719</v>
      </c>
    </row>
    <row r="158" spans="1:5" x14ac:dyDescent="0.25">
      <c r="A158">
        <v>3</v>
      </c>
      <c r="B158" t="s">
        <v>18</v>
      </c>
      <c r="C158" t="s">
        <v>10</v>
      </c>
      <c r="D158">
        <v>29193</v>
      </c>
      <c r="E158">
        <v>21133</v>
      </c>
    </row>
    <row r="159" spans="1:5" x14ac:dyDescent="0.25">
      <c r="A159">
        <v>3</v>
      </c>
      <c r="B159" t="s">
        <v>18</v>
      </c>
      <c r="C159" t="s">
        <v>11</v>
      </c>
      <c r="D159">
        <v>15334</v>
      </c>
      <c r="E159">
        <v>1279</v>
      </c>
    </row>
    <row r="160" spans="1:5" x14ac:dyDescent="0.25">
      <c r="A160">
        <v>3</v>
      </c>
      <c r="B160" t="s">
        <v>18</v>
      </c>
      <c r="C160" t="s">
        <v>12</v>
      </c>
      <c r="D160">
        <v>9659</v>
      </c>
      <c r="E160">
        <v>1077</v>
      </c>
    </row>
    <row r="161" spans="1:5" x14ac:dyDescent="0.25">
      <c r="A161">
        <v>3</v>
      </c>
      <c r="B161" t="s">
        <v>18</v>
      </c>
      <c r="C161" t="s">
        <v>13</v>
      </c>
      <c r="D161">
        <v>101505</v>
      </c>
      <c r="E161">
        <v>31173</v>
      </c>
    </row>
    <row r="162" spans="1:5" x14ac:dyDescent="0.25">
      <c r="A162">
        <v>3</v>
      </c>
      <c r="B162" t="s">
        <v>18</v>
      </c>
      <c r="C162" t="s">
        <v>14</v>
      </c>
      <c r="D162">
        <v>29704</v>
      </c>
      <c r="E162">
        <v>835</v>
      </c>
    </row>
    <row r="163" spans="1:5" x14ac:dyDescent="0.25">
      <c r="A163">
        <v>3</v>
      </c>
      <c r="B163" t="s">
        <v>18</v>
      </c>
      <c r="C163" t="s">
        <v>15</v>
      </c>
      <c r="D163">
        <v>20573</v>
      </c>
      <c r="E163">
        <v>8368</v>
      </c>
    </row>
    <row r="164" spans="1:5" x14ac:dyDescent="0.25">
      <c r="A164">
        <v>7</v>
      </c>
      <c r="B164" t="s">
        <v>18</v>
      </c>
      <c r="C164" t="s">
        <v>15</v>
      </c>
      <c r="D164">
        <v>38647</v>
      </c>
      <c r="E164">
        <v>15567</v>
      </c>
    </row>
    <row r="165" spans="1:5" x14ac:dyDescent="0.25">
      <c r="A165">
        <v>7</v>
      </c>
      <c r="B165" t="s">
        <v>18</v>
      </c>
      <c r="C165" t="s">
        <v>14</v>
      </c>
      <c r="D165">
        <v>51120</v>
      </c>
      <c r="E165">
        <v>1379</v>
      </c>
    </row>
    <row r="166" spans="1:5" x14ac:dyDescent="0.25">
      <c r="A166">
        <v>7</v>
      </c>
      <c r="B166" t="s">
        <v>18</v>
      </c>
      <c r="C166" t="s">
        <v>13</v>
      </c>
      <c r="D166">
        <v>184507</v>
      </c>
      <c r="E166">
        <v>55846</v>
      </c>
    </row>
    <row r="167" spans="1:5" x14ac:dyDescent="0.25">
      <c r="A167">
        <v>7</v>
      </c>
      <c r="B167" t="s">
        <v>18</v>
      </c>
      <c r="C167" t="s">
        <v>12</v>
      </c>
      <c r="D167">
        <v>16531</v>
      </c>
      <c r="E167">
        <v>1797</v>
      </c>
    </row>
    <row r="168" spans="1:5" x14ac:dyDescent="0.25">
      <c r="A168">
        <v>7</v>
      </c>
      <c r="B168" t="s">
        <v>18</v>
      </c>
      <c r="C168" t="s">
        <v>11</v>
      </c>
      <c r="D168">
        <v>28565</v>
      </c>
      <c r="E168">
        <v>2494</v>
      </c>
    </row>
    <row r="169" spans="1:5" x14ac:dyDescent="0.25">
      <c r="A169">
        <v>7</v>
      </c>
      <c r="B169" t="s">
        <v>18</v>
      </c>
      <c r="C169" t="s">
        <v>10</v>
      </c>
      <c r="D169">
        <v>51050</v>
      </c>
      <c r="E169">
        <v>36298</v>
      </c>
    </row>
    <row r="170" spans="1:5" x14ac:dyDescent="0.25">
      <c r="A170">
        <v>7</v>
      </c>
      <c r="B170" t="s">
        <v>18</v>
      </c>
      <c r="C170" t="s">
        <v>9</v>
      </c>
      <c r="D170">
        <v>184259</v>
      </c>
      <c r="E170">
        <v>40569</v>
      </c>
    </row>
    <row r="171" spans="1:5" x14ac:dyDescent="0.25">
      <c r="A171">
        <v>7</v>
      </c>
      <c r="B171" t="s">
        <v>18</v>
      </c>
      <c r="C171" t="s">
        <v>8</v>
      </c>
      <c r="D171">
        <v>302888</v>
      </c>
      <c r="E171">
        <v>186403</v>
      </c>
    </row>
    <row r="172" spans="1:5" x14ac:dyDescent="0.25">
      <c r="A172">
        <v>7</v>
      </c>
      <c r="B172" t="s">
        <v>18</v>
      </c>
      <c r="C172" t="s">
        <v>7</v>
      </c>
      <c r="D172">
        <v>28470</v>
      </c>
      <c r="E172">
        <v>2972</v>
      </c>
    </row>
    <row r="173" spans="1:5" x14ac:dyDescent="0.25">
      <c r="A173">
        <v>7</v>
      </c>
      <c r="B173" t="s">
        <v>18</v>
      </c>
      <c r="C173" t="s">
        <v>6</v>
      </c>
      <c r="D173">
        <v>374540</v>
      </c>
      <c r="E173">
        <v>24923</v>
      </c>
    </row>
    <row r="174" spans="1:5" x14ac:dyDescent="0.25">
      <c r="A174">
        <v>6</v>
      </c>
      <c r="B174" t="s">
        <v>18</v>
      </c>
      <c r="C174" t="s">
        <v>15</v>
      </c>
      <c r="D174">
        <v>34300</v>
      </c>
      <c r="E174">
        <v>13766</v>
      </c>
    </row>
    <row r="175" spans="1:5" x14ac:dyDescent="0.25">
      <c r="A175">
        <v>6</v>
      </c>
      <c r="B175" t="s">
        <v>18</v>
      </c>
      <c r="C175" t="s">
        <v>14</v>
      </c>
      <c r="D175">
        <v>46002</v>
      </c>
      <c r="E175">
        <v>1273</v>
      </c>
    </row>
    <row r="176" spans="1:5" x14ac:dyDescent="0.25">
      <c r="A176">
        <v>6</v>
      </c>
      <c r="B176" t="s">
        <v>18</v>
      </c>
      <c r="C176" t="s">
        <v>13</v>
      </c>
      <c r="D176">
        <v>163114</v>
      </c>
      <c r="E176">
        <v>49459</v>
      </c>
    </row>
    <row r="177" spans="1:5" x14ac:dyDescent="0.25">
      <c r="A177">
        <v>6</v>
      </c>
      <c r="B177" t="s">
        <v>18</v>
      </c>
      <c r="C177" t="s">
        <v>12</v>
      </c>
      <c r="D177">
        <v>14829</v>
      </c>
      <c r="E177">
        <v>1607</v>
      </c>
    </row>
    <row r="178" spans="1:5" x14ac:dyDescent="0.25">
      <c r="A178">
        <v>6</v>
      </c>
      <c r="B178" t="s">
        <v>18</v>
      </c>
      <c r="C178" t="s">
        <v>11</v>
      </c>
      <c r="D178">
        <v>25126</v>
      </c>
      <c r="E178">
        <v>2177</v>
      </c>
    </row>
    <row r="179" spans="1:5" x14ac:dyDescent="0.25">
      <c r="A179">
        <v>6</v>
      </c>
      <c r="B179" t="s">
        <v>18</v>
      </c>
      <c r="C179" t="s">
        <v>10</v>
      </c>
      <c r="D179">
        <v>45693</v>
      </c>
      <c r="E179">
        <v>32689</v>
      </c>
    </row>
    <row r="180" spans="1:5" x14ac:dyDescent="0.25">
      <c r="A180">
        <v>6</v>
      </c>
      <c r="B180" t="s">
        <v>18</v>
      </c>
      <c r="C180" t="s">
        <v>9</v>
      </c>
      <c r="D180">
        <v>163801</v>
      </c>
      <c r="E180">
        <v>35868</v>
      </c>
    </row>
    <row r="181" spans="1:5" x14ac:dyDescent="0.25">
      <c r="A181">
        <v>6</v>
      </c>
      <c r="B181" t="s">
        <v>18</v>
      </c>
      <c r="C181" t="s">
        <v>8</v>
      </c>
      <c r="D181">
        <v>134915</v>
      </c>
      <c r="E181">
        <v>83342</v>
      </c>
    </row>
    <row r="182" spans="1:5" x14ac:dyDescent="0.25">
      <c r="A182">
        <v>6</v>
      </c>
      <c r="B182" t="s">
        <v>18</v>
      </c>
      <c r="C182" t="s">
        <v>7</v>
      </c>
      <c r="D182">
        <v>25069</v>
      </c>
      <c r="E182">
        <v>2738</v>
      </c>
    </row>
    <row r="183" spans="1:5" x14ac:dyDescent="0.25">
      <c r="A183">
        <v>6</v>
      </c>
      <c r="B183" t="s">
        <v>18</v>
      </c>
      <c r="C183" t="s">
        <v>6</v>
      </c>
      <c r="D183">
        <v>332196</v>
      </c>
      <c r="E183">
        <v>22189</v>
      </c>
    </row>
    <row r="184" spans="1:5" x14ac:dyDescent="0.25">
      <c r="A184">
        <v>5</v>
      </c>
      <c r="B184" t="s">
        <v>18</v>
      </c>
      <c r="C184" t="s">
        <v>15</v>
      </c>
      <c r="D184">
        <v>29546</v>
      </c>
      <c r="E184">
        <v>12036</v>
      </c>
    </row>
    <row r="185" spans="1:5" x14ac:dyDescent="0.25">
      <c r="A185">
        <v>5</v>
      </c>
      <c r="B185" t="s">
        <v>18</v>
      </c>
      <c r="C185" t="s">
        <v>14</v>
      </c>
      <c r="D185">
        <v>40006</v>
      </c>
      <c r="E185">
        <v>1140</v>
      </c>
    </row>
    <row r="186" spans="1:5" x14ac:dyDescent="0.25">
      <c r="A186">
        <v>5</v>
      </c>
      <c r="B186" t="s">
        <v>18</v>
      </c>
      <c r="C186" t="s">
        <v>13</v>
      </c>
      <c r="D186">
        <v>142905</v>
      </c>
      <c r="E186">
        <v>43798</v>
      </c>
    </row>
    <row r="187" spans="1:5" x14ac:dyDescent="0.25">
      <c r="A187">
        <v>5</v>
      </c>
      <c r="B187" t="s">
        <v>18</v>
      </c>
      <c r="C187" t="s">
        <v>12</v>
      </c>
      <c r="D187">
        <v>13256</v>
      </c>
      <c r="E187">
        <v>1406</v>
      </c>
    </row>
    <row r="188" spans="1:5" x14ac:dyDescent="0.25">
      <c r="A188">
        <v>5</v>
      </c>
      <c r="B188" t="s">
        <v>18</v>
      </c>
      <c r="C188" t="s">
        <v>11</v>
      </c>
      <c r="D188">
        <v>21883</v>
      </c>
      <c r="E188">
        <v>1917</v>
      </c>
    </row>
    <row r="189" spans="1:5" x14ac:dyDescent="0.25">
      <c r="A189">
        <v>5</v>
      </c>
      <c r="B189" t="s">
        <v>18</v>
      </c>
      <c r="C189" t="s">
        <v>10</v>
      </c>
      <c r="D189">
        <v>40381</v>
      </c>
      <c r="E189">
        <v>28934</v>
      </c>
    </row>
    <row r="190" spans="1:5" x14ac:dyDescent="0.25">
      <c r="A190">
        <v>5</v>
      </c>
      <c r="B190" t="s">
        <v>18</v>
      </c>
      <c r="C190" t="s">
        <v>9</v>
      </c>
      <c r="D190">
        <v>142649</v>
      </c>
      <c r="E190">
        <v>31935</v>
      </c>
    </row>
    <row r="191" spans="1:5" x14ac:dyDescent="0.25">
      <c r="A191">
        <v>5</v>
      </c>
      <c r="B191" t="s">
        <v>18</v>
      </c>
      <c r="C191" t="s">
        <v>8</v>
      </c>
      <c r="D191">
        <v>117939</v>
      </c>
      <c r="E191">
        <v>72915</v>
      </c>
    </row>
    <row r="192" spans="1:5" x14ac:dyDescent="0.25">
      <c r="A192">
        <v>5</v>
      </c>
      <c r="B192" t="s">
        <v>18</v>
      </c>
      <c r="C192" t="s">
        <v>7</v>
      </c>
      <c r="D192">
        <v>21999</v>
      </c>
      <c r="E192">
        <v>2468</v>
      </c>
    </row>
    <row r="193" spans="1:5" x14ac:dyDescent="0.25">
      <c r="A193">
        <v>5</v>
      </c>
      <c r="B193" t="s">
        <v>18</v>
      </c>
      <c r="C193" t="s">
        <v>6</v>
      </c>
      <c r="D193">
        <v>289217</v>
      </c>
      <c r="E193">
        <v>19343</v>
      </c>
    </row>
    <row r="194" spans="1:5" x14ac:dyDescent="0.25">
      <c r="A194">
        <v>4</v>
      </c>
      <c r="B194" t="s">
        <v>18</v>
      </c>
      <c r="C194" t="s">
        <v>6</v>
      </c>
      <c r="D194">
        <v>246799</v>
      </c>
      <c r="E194">
        <v>16725</v>
      </c>
    </row>
    <row r="195" spans="1:5" x14ac:dyDescent="0.25">
      <c r="A195">
        <v>4</v>
      </c>
      <c r="B195" t="s">
        <v>18</v>
      </c>
      <c r="C195" t="s">
        <v>7</v>
      </c>
      <c r="D195">
        <v>18864</v>
      </c>
      <c r="E195">
        <v>2051</v>
      </c>
    </row>
    <row r="196" spans="1:5" x14ac:dyDescent="0.25">
      <c r="A196">
        <v>4</v>
      </c>
      <c r="B196" t="s">
        <v>18</v>
      </c>
      <c r="C196" t="s">
        <v>8</v>
      </c>
      <c r="D196">
        <v>101389</v>
      </c>
      <c r="E196">
        <v>63226</v>
      </c>
    </row>
    <row r="197" spans="1:5" x14ac:dyDescent="0.25">
      <c r="A197">
        <v>4</v>
      </c>
      <c r="B197" t="s">
        <v>18</v>
      </c>
      <c r="C197" t="s">
        <v>9</v>
      </c>
      <c r="D197">
        <v>121333</v>
      </c>
      <c r="E197">
        <v>27136</v>
      </c>
    </row>
    <row r="198" spans="1:5" x14ac:dyDescent="0.25">
      <c r="A198">
        <v>4</v>
      </c>
      <c r="B198" t="s">
        <v>18</v>
      </c>
      <c r="C198" t="s">
        <v>10</v>
      </c>
      <c r="D198">
        <v>34677</v>
      </c>
      <c r="E198">
        <v>25086</v>
      </c>
    </row>
    <row r="199" spans="1:5" x14ac:dyDescent="0.25">
      <c r="A199">
        <v>4</v>
      </c>
      <c r="B199" t="s">
        <v>18</v>
      </c>
      <c r="C199" t="s">
        <v>11</v>
      </c>
      <c r="D199">
        <v>18458</v>
      </c>
      <c r="E199">
        <v>1592</v>
      </c>
    </row>
    <row r="200" spans="1:5" x14ac:dyDescent="0.25">
      <c r="A200">
        <v>4</v>
      </c>
      <c r="B200" t="s">
        <v>18</v>
      </c>
      <c r="C200" t="s">
        <v>12</v>
      </c>
      <c r="D200">
        <v>11226</v>
      </c>
      <c r="E200">
        <v>1258</v>
      </c>
    </row>
    <row r="201" spans="1:5" x14ac:dyDescent="0.25">
      <c r="A201">
        <v>4</v>
      </c>
      <c r="B201" t="s">
        <v>18</v>
      </c>
      <c r="C201" t="s">
        <v>13</v>
      </c>
      <c r="D201">
        <v>121606</v>
      </c>
      <c r="E201">
        <v>37171</v>
      </c>
    </row>
    <row r="202" spans="1:5" x14ac:dyDescent="0.25">
      <c r="A202">
        <v>4</v>
      </c>
      <c r="B202" t="s">
        <v>18</v>
      </c>
      <c r="C202" t="s">
        <v>14</v>
      </c>
      <c r="D202">
        <v>34396</v>
      </c>
      <c r="E202">
        <v>1022</v>
      </c>
    </row>
    <row r="203" spans="1:5" x14ac:dyDescent="0.25">
      <c r="A203">
        <v>4</v>
      </c>
      <c r="B203" t="s">
        <v>18</v>
      </c>
      <c r="C203" t="s">
        <v>15</v>
      </c>
      <c r="D203">
        <v>25245</v>
      </c>
      <c r="E203">
        <v>10148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3C21-8BEF-4AEB-8064-62654D6737EA}">
  <sheetPr>
    <tabColor theme="9" tint="0.59999389629810485"/>
  </sheetPr>
  <dimension ref="A3:D8"/>
  <sheetViews>
    <sheetView workbookViewId="0">
      <selection activeCell="B16" sqref="B16"/>
    </sheetView>
  </sheetViews>
  <sheetFormatPr defaultRowHeight="13.2" x14ac:dyDescent="0.25"/>
  <cols>
    <col min="1" max="1" width="13.33203125" bestFit="1" customWidth="1"/>
    <col min="2" max="2" width="12.21875" bestFit="1" customWidth="1"/>
    <col min="3" max="3" width="18.5546875" bestFit="1" customWidth="1"/>
    <col min="4" max="4" width="14.44140625" bestFit="1" customWidth="1"/>
  </cols>
  <sheetData>
    <row r="3" spans="1:4" x14ac:dyDescent="0.25">
      <c r="A3" s="2" t="s">
        <v>19</v>
      </c>
      <c r="B3" t="s">
        <v>21</v>
      </c>
      <c r="C3" t="s">
        <v>22</v>
      </c>
      <c r="D3" s="5" t="s">
        <v>24</v>
      </c>
    </row>
    <row r="4" spans="1:4" x14ac:dyDescent="0.25">
      <c r="A4" s="3" t="s">
        <v>5</v>
      </c>
      <c r="B4" s="4">
        <v>95825265</v>
      </c>
      <c r="C4" s="4">
        <v>34372239</v>
      </c>
      <c r="D4" s="7">
        <f>GETPIVOTDATA("Sum of conversions",$A$3,"browser","chrome")/GETPIVOTDATA("Sum of visits",$A$3,"browser","chrome")</f>
        <v>0.3586970409108704</v>
      </c>
    </row>
    <row r="5" spans="1:4" x14ac:dyDescent="0.25">
      <c r="A5" s="3" t="s">
        <v>16</v>
      </c>
      <c r="B5" s="4">
        <v>15969172</v>
      </c>
      <c r="C5" s="4">
        <v>9569277</v>
      </c>
      <c r="D5" s="7">
        <f>GETPIVOTDATA("Sum of conversions",$A$3,"browser","firefox")/GETPIVOTDATA("Sum of visits",$A$3,"browser","firefox")</f>
        <v>0.59923438735583789</v>
      </c>
    </row>
    <row r="6" spans="1:4" x14ac:dyDescent="0.25">
      <c r="A6" s="3" t="s">
        <v>17</v>
      </c>
      <c r="B6" s="4">
        <v>31937898</v>
      </c>
      <c r="C6" s="4">
        <v>15248626</v>
      </c>
      <c r="D6" s="7">
        <f>GETPIVOTDATA("Sum of conversions",$A$3,"browser","ie")/GETPIVOTDATA("Sum of visits",$A$3,"browser","ie")</f>
        <v>0.47744613624854082</v>
      </c>
    </row>
    <row r="7" spans="1:4" x14ac:dyDescent="0.25">
      <c r="A7" s="3" t="s">
        <v>18</v>
      </c>
      <c r="B7" s="4">
        <v>31950053</v>
      </c>
      <c r="C7" s="4">
        <v>8876697</v>
      </c>
      <c r="D7" s="7">
        <f>GETPIVOTDATA("Sum of conversions",$A$3,"browser","safari")/GETPIVOTDATA("Sum of visits",$A$3,"browser","safari")</f>
        <v>0.27783043114200778</v>
      </c>
    </row>
    <row r="8" spans="1:4" x14ac:dyDescent="0.25">
      <c r="A8" s="3" t="s">
        <v>20</v>
      </c>
      <c r="B8" s="4">
        <v>175682388</v>
      </c>
      <c r="C8" s="4">
        <v>68066839</v>
      </c>
      <c r="D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AD45-D2C2-4B29-BA09-CBF25D728966}">
  <sheetPr>
    <tabColor theme="8" tint="0.59999389629810485"/>
  </sheetPr>
  <dimension ref="A3:D14"/>
  <sheetViews>
    <sheetView workbookViewId="0">
      <selection activeCell="D3" sqref="D3"/>
    </sheetView>
  </sheetViews>
  <sheetFormatPr defaultRowHeight="13.2" x14ac:dyDescent="0.25"/>
  <cols>
    <col min="1" max="1" width="13.33203125" bestFit="1" customWidth="1"/>
    <col min="2" max="2" width="12.21875" bestFit="1" customWidth="1"/>
    <col min="3" max="3" width="18.5546875" bestFit="1" customWidth="1"/>
    <col min="4" max="4" width="14.44140625" bestFit="1" customWidth="1"/>
  </cols>
  <sheetData>
    <row r="3" spans="1:4" x14ac:dyDescent="0.25">
      <c r="A3" s="2" t="s">
        <v>19</v>
      </c>
      <c r="B3" t="s">
        <v>21</v>
      </c>
      <c r="C3" t="s">
        <v>22</v>
      </c>
      <c r="D3" s="5" t="s">
        <v>24</v>
      </c>
    </row>
    <row r="4" spans="1:4" x14ac:dyDescent="0.25">
      <c r="A4" s="3" t="s">
        <v>6</v>
      </c>
      <c r="B4" s="4">
        <v>53977200</v>
      </c>
      <c r="C4" s="4">
        <v>7032877</v>
      </c>
      <c r="D4" s="7">
        <f>GETPIVOTDATA("Sum of conversions",$A$3,"country","AA")/GETPIVOTDATA("Sum of visits",$A$3,"country","AA")</f>
        <v>0.13029347576384104</v>
      </c>
    </row>
    <row r="5" spans="1:4" x14ac:dyDescent="0.25">
      <c r="A5" s="3" t="s">
        <v>7</v>
      </c>
      <c r="B5" s="4">
        <v>4132771</v>
      </c>
      <c r="C5" s="4">
        <v>797402</v>
      </c>
      <c r="D5" s="10">
        <f>GETPIVOTDATA("Sum of conversions",$A$3,"country","AB")/GETPIVOTDATA("Sum of visits",$A$3,"country","AB")</f>
        <v>0.19294608871384356</v>
      </c>
    </row>
    <row r="6" spans="1:4" x14ac:dyDescent="0.25">
      <c r="A6" s="3" t="s">
        <v>8</v>
      </c>
      <c r="B6" s="4">
        <v>39069621</v>
      </c>
      <c r="C6" s="4">
        <v>28772764</v>
      </c>
      <c r="D6" s="9">
        <f>GETPIVOTDATA("Sum of conversions",$A$3,"country","AC")/GETPIVOTDATA("Sum of visits",$A$3,"country","AC")</f>
        <v>0.7364485056049046</v>
      </c>
    </row>
    <row r="7" spans="1:4" x14ac:dyDescent="0.25">
      <c r="A7" s="3" t="s">
        <v>9</v>
      </c>
      <c r="B7" s="4">
        <v>26318069</v>
      </c>
      <c r="C7" s="4">
        <v>9263094</v>
      </c>
      <c r="D7" s="9">
        <f>GETPIVOTDATA("Sum of conversions",$A$3,"country","AD")/GETPIVOTDATA("Sum of visits",$A$3,"country","AD")</f>
        <v>0.35196708390725778</v>
      </c>
    </row>
    <row r="8" spans="1:4" x14ac:dyDescent="0.25">
      <c r="A8" s="3" t="s">
        <v>10</v>
      </c>
      <c r="B8" s="4">
        <v>6909015</v>
      </c>
      <c r="C8" s="4">
        <v>5588559</v>
      </c>
      <c r="D8" s="9">
        <f>GETPIVOTDATA("Sum of conversions",$A$3,"country","AE")/GETPIVOTDATA("Sum of visits",$A$3,"country","AE")</f>
        <v>0.80887926860775383</v>
      </c>
    </row>
    <row r="9" spans="1:4" x14ac:dyDescent="0.25">
      <c r="A9" s="3" t="s">
        <v>11</v>
      </c>
      <c r="B9" s="4">
        <v>4133945</v>
      </c>
      <c r="C9" s="4">
        <v>687370</v>
      </c>
      <c r="D9" s="9">
        <f>GETPIVOTDATA("Sum of conversions",$A$3,"country","AF")/GETPIVOTDATA("Sum of visits",$A$3,"country","AF")</f>
        <v>0.16627458759127178</v>
      </c>
    </row>
    <row r="10" spans="1:4" x14ac:dyDescent="0.25">
      <c r="A10" s="3" t="s">
        <v>12</v>
      </c>
      <c r="B10" s="4">
        <v>2190678</v>
      </c>
      <c r="C10" s="4">
        <v>424735</v>
      </c>
      <c r="D10" s="9">
        <f>GETPIVOTDATA("Sum of conversions",$A$3,"country","AG")/GETPIVOTDATA("Sum of visits",$A$3,"country","AG")</f>
        <v>0.19388289835384295</v>
      </c>
    </row>
    <row r="11" spans="1:4" x14ac:dyDescent="0.25">
      <c r="A11" s="3" t="s">
        <v>13</v>
      </c>
      <c r="B11" s="4">
        <v>26307783</v>
      </c>
      <c r="C11" s="4">
        <v>11959562</v>
      </c>
      <c r="D11" s="9">
        <f>GETPIVOTDATA("Sum of conversions",$A$3,"country","AH")/GETPIVOTDATA("Sum of visits",$A$3,"country","AH")</f>
        <v>0.45460166673869856</v>
      </c>
    </row>
    <row r="12" spans="1:4" x14ac:dyDescent="0.25">
      <c r="A12" s="3" t="s">
        <v>14</v>
      </c>
      <c r="B12" s="4">
        <v>6910221</v>
      </c>
      <c r="C12" s="4">
        <v>351932</v>
      </c>
      <c r="D12" s="9">
        <f>GETPIVOTDATA("Sum of conversions",$A$3,"country","AI")/GETPIVOTDATA("Sum of visits",$A$3,"country","AI")</f>
        <v>5.0929196041631666E-2</v>
      </c>
    </row>
    <row r="13" spans="1:4" x14ac:dyDescent="0.25">
      <c r="A13" s="3" t="s">
        <v>15</v>
      </c>
      <c r="B13" s="4">
        <v>5733085</v>
      </c>
      <c r="C13" s="4">
        <v>3188544</v>
      </c>
      <c r="D13" s="9">
        <f>GETPIVOTDATA("Sum of conversions",$A$3,"country","AJ")/GETPIVOTDATA("Sum of visits",$A$3,"country","AJ")</f>
        <v>0.55616548507478958</v>
      </c>
    </row>
    <row r="14" spans="1:4" x14ac:dyDescent="0.25">
      <c r="A14" s="3" t="s">
        <v>20</v>
      </c>
      <c r="B14" s="4">
        <v>175682388</v>
      </c>
      <c r="C14" s="4">
        <v>68066839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F48A-C2DD-4E44-9E3B-29B095F78203}">
  <sheetPr>
    <tabColor theme="6" tint="0.79998168889431442"/>
  </sheetPr>
  <dimension ref="A3:Q27"/>
  <sheetViews>
    <sheetView zoomScale="72" zoomScaleNormal="72" workbookViewId="0">
      <selection activeCell="H41" sqref="H41"/>
    </sheetView>
  </sheetViews>
  <sheetFormatPr defaultRowHeight="13.2" x14ac:dyDescent="0.25"/>
  <cols>
    <col min="1" max="1" width="14.33203125" bestFit="1" customWidth="1"/>
    <col min="2" max="2" width="17.21875" bestFit="1" customWidth="1"/>
    <col min="3" max="3" width="18.77734375" bestFit="1" customWidth="1"/>
    <col min="4" max="4" width="12.33203125" bestFit="1" customWidth="1"/>
    <col min="5" max="5" width="18.77734375" bestFit="1" customWidth="1"/>
    <col min="6" max="6" width="12.33203125" bestFit="1" customWidth="1"/>
    <col min="7" max="7" width="18.77734375" bestFit="1" customWidth="1"/>
    <col min="8" max="8" width="12.33203125" bestFit="1" customWidth="1"/>
    <col min="9" max="9" width="18.77734375" bestFit="1" customWidth="1"/>
    <col min="10" max="10" width="12.33203125" bestFit="1" customWidth="1"/>
    <col min="11" max="11" width="18.77734375" bestFit="1" customWidth="1"/>
    <col min="12" max="12" width="17.33203125" bestFit="1" customWidth="1"/>
    <col min="13" max="13" width="23.77734375" bestFit="1" customWidth="1"/>
    <col min="14" max="14" width="12.77734375" customWidth="1"/>
    <col min="15" max="15" width="16.6640625" bestFit="1" customWidth="1"/>
  </cols>
  <sheetData>
    <row r="3" spans="1:17" x14ac:dyDescent="0.25">
      <c r="B3" s="2" t="s">
        <v>27</v>
      </c>
      <c r="N3" s="11"/>
      <c r="O3" s="11"/>
      <c r="P3" s="11"/>
      <c r="Q3" s="11"/>
    </row>
    <row r="4" spans="1:17" x14ac:dyDescent="0.25">
      <c r="B4" t="s">
        <v>5</v>
      </c>
      <c r="D4" t="s">
        <v>16</v>
      </c>
      <c r="F4" t="s">
        <v>17</v>
      </c>
      <c r="H4" t="s">
        <v>18</v>
      </c>
      <c r="J4" t="s">
        <v>26</v>
      </c>
      <c r="L4" t="s">
        <v>28</v>
      </c>
      <c r="M4" t="s">
        <v>29</v>
      </c>
      <c r="N4" s="11" t="s">
        <v>30</v>
      </c>
      <c r="O4" s="11" t="s">
        <v>31</v>
      </c>
      <c r="P4" s="11" t="s">
        <v>32</v>
      </c>
      <c r="Q4" s="11" t="s">
        <v>33</v>
      </c>
    </row>
    <row r="5" spans="1:17" x14ac:dyDescent="0.25">
      <c r="A5" s="2" t="s">
        <v>19</v>
      </c>
      <c r="B5" t="s">
        <v>21</v>
      </c>
      <c r="C5" t="s">
        <v>22</v>
      </c>
      <c r="D5" t="s">
        <v>21</v>
      </c>
      <c r="E5" t="s">
        <v>22</v>
      </c>
      <c r="F5" t="s">
        <v>21</v>
      </c>
      <c r="G5" t="s">
        <v>22</v>
      </c>
      <c r="H5" t="s">
        <v>21</v>
      </c>
      <c r="I5" t="s">
        <v>22</v>
      </c>
      <c r="J5" t="s">
        <v>21</v>
      </c>
      <c r="K5" t="s">
        <v>22</v>
      </c>
      <c r="N5" s="11"/>
      <c r="O5" s="11"/>
      <c r="P5" s="11"/>
      <c r="Q5" s="11"/>
    </row>
    <row r="6" spans="1:17" x14ac:dyDescent="0.25">
      <c r="A6" s="3">
        <v>0</v>
      </c>
      <c r="B6" s="4">
        <v>727505</v>
      </c>
      <c r="C6" s="4">
        <v>244933</v>
      </c>
      <c r="D6" s="4">
        <v>121075</v>
      </c>
      <c r="E6" s="4">
        <v>70695</v>
      </c>
      <c r="F6" s="4">
        <v>243842</v>
      </c>
      <c r="G6" s="4">
        <v>111513</v>
      </c>
      <c r="H6" s="4">
        <v>243485</v>
      </c>
      <c r="I6" s="4">
        <v>62843</v>
      </c>
      <c r="J6" s="4"/>
      <c r="K6" s="4"/>
      <c r="L6" s="4">
        <v>1335907</v>
      </c>
      <c r="M6" s="4">
        <v>489984</v>
      </c>
      <c r="N6" s="12">
        <f>GETPIVOTDATA("Sum of conversions",$A$3,"week",0,"browser","chrome")/GETPIVOTDATA("Sum of visits",$A$3,"week",0,"browser","chrome")</f>
        <v>0.33667534931031401</v>
      </c>
      <c r="O6" s="12">
        <f>GETPIVOTDATA("Sum of conversions",$A$3,"week",0,"browser","firefox")/GETPIVOTDATA("Sum of visits",$A$3,"week",0,"browser","firefox")</f>
        <v>0.58389428040470781</v>
      </c>
      <c r="P6" s="12">
        <f>GETPIVOTDATA("Sum of conversions",$A$3,"week",0,"browser","ie")/GETPIVOTDATA("Sum of visits",$A$3,"week",0,"browser","ie")</f>
        <v>0.45731662305919407</v>
      </c>
      <c r="Q6" s="12">
        <f>GETPIVOTDATA("Sum of conversions",$A$3,"week",0,"browser","safari")/GETPIVOTDATA("Sum of visits",$A$3,"week",0,"browser","safari")</f>
        <v>0.25809803478653714</v>
      </c>
    </row>
    <row r="7" spans="1:17" x14ac:dyDescent="0.25">
      <c r="A7" s="3">
        <v>1</v>
      </c>
      <c r="B7" s="4">
        <v>1095652</v>
      </c>
      <c r="C7" s="4">
        <v>366837</v>
      </c>
      <c r="D7" s="4">
        <v>182334</v>
      </c>
      <c r="E7" s="4">
        <v>106402</v>
      </c>
      <c r="F7" s="4">
        <v>363696</v>
      </c>
      <c r="G7" s="4">
        <v>165842</v>
      </c>
      <c r="H7" s="4">
        <v>363640</v>
      </c>
      <c r="I7" s="4">
        <v>93067</v>
      </c>
      <c r="J7" s="4"/>
      <c r="K7" s="4"/>
      <c r="L7" s="4">
        <v>2005322</v>
      </c>
      <c r="M7" s="4">
        <v>732148</v>
      </c>
      <c r="N7" s="7">
        <f>GETPIVOTDATA("Sum of conversions",$A$3,"week",1,"browser","chrome")/GETPIVOTDATA("Sum of visits",$A$3,"week",1,"browser","chrome")</f>
        <v>0.33481160076374616</v>
      </c>
      <c r="O7" s="7">
        <f>GETPIVOTDATA("Sum of conversions",$A$3,"week",1,"browser","firefox")/GETPIVOTDATA("Sum of visits",$A$3,"week",1,"browser","firefox")</f>
        <v>0.58355545317933022</v>
      </c>
      <c r="P7" s="7">
        <f>GETPIVOTDATA("Sum of conversions",$A$3,"week",1,"browser","ie")/GETPIVOTDATA("Sum of visits",$A$3,"week",1,"browser","ie")</f>
        <v>0.45599071752232634</v>
      </c>
      <c r="Q7" s="7">
        <f>GETPIVOTDATA("Sum of conversions",$A$3,"week",1,"browser","safari")/GETPIVOTDATA("Sum of visits",$A$3,"week",1,"browser","safari")</f>
        <v>0.25593169068309318</v>
      </c>
    </row>
    <row r="8" spans="1:17" x14ac:dyDescent="0.25">
      <c r="A8" s="3">
        <v>2</v>
      </c>
      <c r="B8" s="4">
        <v>1463283</v>
      </c>
      <c r="C8" s="4">
        <v>489612</v>
      </c>
      <c r="D8" s="4">
        <v>243816</v>
      </c>
      <c r="E8" s="4">
        <v>141652</v>
      </c>
      <c r="F8" s="4">
        <v>489338</v>
      </c>
      <c r="G8" s="4">
        <v>221989</v>
      </c>
      <c r="H8" s="4">
        <v>487195</v>
      </c>
      <c r="I8" s="4">
        <v>124906</v>
      </c>
      <c r="J8" s="4"/>
      <c r="K8" s="4"/>
      <c r="L8" s="4">
        <v>2683632</v>
      </c>
      <c r="M8" s="4">
        <v>978159</v>
      </c>
      <c r="N8" s="7">
        <f>GETPIVOTDATA("Sum of conversions",$A$3,"week",2,"browser","chrome")/GETPIVOTDATA("Sum of visits",$A$3,"week",2,"browser","chrome")</f>
        <v>0.33459829711682565</v>
      </c>
      <c r="O8" s="7">
        <f>GETPIVOTDATA("Sum of conversions",$A$3,"week",2,"browser","firefox")/GETPIVOTDATA("Sum of visits",$A$3,"week",2,"browser","firefox")</f>
        <v>0.58097909899268296</v>
      </c>
      <c r="P8" s="7">
        <f>GETPIVOTDATA("Sum of conversions",$A$3,"week",2,"browser","ie")/GETPIVOTDATA("Sum of visits",$A$3,"week",2,"browser","ie")</f>
        <v>0.4536516681721019</v>
      </c>
      <c r="Q8" s="7">
        <f>GETPIVOTDATA("Sum of conversions",$A$3,"week",2,"browser","safari")/GETPIVOTDATA("Sum of visits",$A$3,"week",2,"browser","safari")</f>
        <v>0.25637783638994655</v>
      </c>
    </row>
    <row r="9" spans="1:17" x14ac:dyDescent="0.25">
      <c r="A9" s="3">
        <v>3</v>
      </c>
      <c r="B9" s="4">
        <v>1832093</v>
      </c>
      <c r="C9" s="4">
        <v>608674</v>
      </c>
      <c r="D9" s="4">
        <v>304783</v>
      </c>
      <c r="E9" s="4">
        <v>176360</v>
      </c>
      <c r="F9" s="4">
        <v>609907</v>
      </c>
      <c r="G9" s="4">
        <v>275191</v>
      </c>
      <c r="H9" s="4">
        <v>611568</v>
      </c>
      <c r="I9" s="4">
        <v>154772</v>
      </c>
      <c r="J9" s="4"/>
      <c r="K9" s="4"/>
      <c r="L9" s="4">
        <v>3358351</v>
      </c>
      <c r="M9" s="4">
        <v>1214997</v>
      </c>
      <c r="N9" s="7">
        <f>GETPIVOTDATA("Sum of conversions",$A$3,"week",3,"browser","chrome")/GETPIVOTDATA("Sum of visits",$A$3,"week",3,"browser","chrome")</f>
        <v>0.33222876786276678</v>
      </c>
      <c r="O9" s="7">
        <f>GETPIVOTDATA("Sum of conversions",$A$3,"week",3,"browser","firefox")/GETPIVOTDATA("Sum of visits",$A$3,"week",3,"browser","firefox")</f>
        <v>0.57864119717963269</v>
      </c>
      <c r="P9" s="7">
        <f>GETPIVOTDATA("Sum of conversions",$A$3,"week",3,"browser","ie")/GETPIVOTDATA("Sum of visits",$A$3,"week",3,"browser","ie")</f>
        <v>0.45120157663381466</v>
      </c>
      <c r="Q9" s="7">
        <f>GETPIVOTDATA("Sum of conversions",$A$3,"week",3,"browser","safari")/GETPIVOTDATA("Sum of visits",$A$3,"week",3,"browser","safari")</f>
        <v>0.25307406535332128</v>
      </c>
    </row>
    <row r="10" spans="1:17" x14ac:dyDescent="0.25">
      <c r="A10" s="3">
        <v>4</v>
      </c>
      <c r="B10" s="4">
        <v>2201584</v>
      </c>
      <c r="C10" s="4">
        <v>729407</v>
      </c>
      <c r="D10" s="4">
        <v>367089</v>
      </c>
      <c r="E10" s="4">
        <v>212110</v>
      </c>
      <c r="F10" s="4">
        <v>733487</v>
      </c>
      <c r="G10" s="4">
        <v>330874</v>
      </c>
      <c r="H10" s="4">
        <v>733993</v>
      </c>
      <c r="I10" s="4">
        <v>185415</v>
      </c>
      <c r="J10" s="4"/>
      <c r="K10" s="4"/>
      <c r="L10" s="4">
        <v>4036153</v>
      </c>
      <c r="M10" s="4">
        <v>1457806</v>
      </c>
      <c r="N10" s="7">
        <f>GETPIVOTDATA("Sum of conversions",$A$3,"week",4,"browser","chrome")/GETPIVOTDATA("Sum of visits",$A$3,"week",4,"browser","chrome")</f>
        <v>0.33131009309660681</v>
      </c>
      <c r="O10" s="7">
        <f>GETPIVOTDATA("Sum of conversions",$A$3,"week",4,"browser","firefox")/GETPIVOTDATA("Sum of visits",$A$3,"week",4,"browser","firefox")</f>
        <v>0.5778162788860467</v>
      </c>
      <c r="P10" s="7">
        <f>GETPIVOTDATA("Sum of conversions",$A$3,"week",4,"browser","ie")/GETPIVOTDATA("Sum of visits",$A$3,"week",4,"browser","ie")</f>
        <v>0.45109729279455535</v>
      </c>
      <c r="Q10" s="7">
        <f>GETPIVOTDATA("Sum of conversions",$A$3,"week",4,"browser","safari")/GETPIVOTDATA("Sum of visits",$A$3,"week",4,"browser","safari")</f>
        <v>0.25261140092616685</v>
      </c>
    </row>
    <row r="11" spans="1:17" x14ac:dyDescent="0.25">
      <c r="A11" s="3">
        <v>5</v>
      </c>
      <c r="B11" s="4">
        <v>2576817</v>
      </c>
      <c r="C11" s="4">
        <v>848311</v>
      </c>
      <c r="D11" s="4">
        <v>428869</v>
      </c>
      <c r="E11" s="4">
        <v>246799</v>
      </c>
      <c r="F11" s="4">
        <v>857231</v>
      </c>
      <c r="G11" s="4">
        <v>384018</v>
      </c>
      <c r="H11" s="4">
        <v>859781</v>
      </c>
      <c r="I11" s="4">
        <v>215892</v>
      </c>
      <c r="J11" s="4"/>
      <c r="K11" s="4"/>
      <c r="L11" s="4">
        <v>4722698</v>
      </c>
      <c r="M11" s="4">
        <v>1695020</v>
      </c>
      <c r="N11" s="7">
        <f>GETPIVOTDATA("Sum of conversions",$A$3,"week",5,"browser","chrome")/GETPIVOTDATA("Sum of visits",$A$3,"week",5,"browser","chrome")</f>
        <v>0.32920886504551933</v>
      </c>
      <c r="O11" s="7">
        <f>GETPIVOTDATA("Sum of conversions",$A$3,"week",5,"browser","firefox")/GETPIVOTDATA("Sum of visits",$A$3,"week",5,"browser","firefox")</f>
        <v>0.57546476896208398</v>
      </c>
      <c r="P11" s="7">
        <f>GETPIVOTDATA("Sum of conversions",$A$3,"week",5,"browser","ie")/GETPIVOTDATA("Sum of visits",$A$3,"week",5,"browser","ie")</f>
        <v>0.44797493324436471</v>
      </c>
      <c r="Q11" s="7">
        <f>GETPIVOTDATA("Sum of conversions",$A$3,"week",5,"browser","safari")/GETPIVOTDATA("Sum of visits",$A$3,"week",5,"browser","safari")</f>
        <v>0.25110115250278853</v>
      </c>
    </row>
    <row r="12" spans="1:17" x14ac:dyDescent="0.25">
      <c r="A12" s="3">
        <v>6</v>
      </c>
      <c r="B12" s="4">
        <v>2948100</v>
      </c>
      <c r="C12" s="4">
        <v>966184</v>
      </c>
      <c r="D12" s="4">
        <v>490538</v>
      </c>
      <c r="E12" s="4">
        <v>281682</v>
      </c>
      <c r="F12" s="4">
        <v>983580</v>
      </c>
      <c r="G12" s="4">
        <v>439942</v>
      </c>
      <c r="H12" s="4">
        <v>985045</v>
      </c>
      <c r="I12" s="4">
        <v>245108</v>
      </c>
      <c r="J12" s="4"/>
      <c r="K12" s="4"/>
      <c r="L12" s="4">
        <v>5407263</v>
      </c>
      <c r="M12" s="4">
        <v>1932916</v>
      </c>
      <c r="N12" s="7">
        <f>GETPIVOTDATA("Sum of conversions",$A$3,"week",6,"browser","chrome")/GETPIVOTDATA("Sum of visits",$A$3,"week",6,"browser","chrome")</f>
        <v>0.32773108103524301</v>
      </c>
      <c r="O12" s="7">
        <f>GETPIVOTDATA("Sum of conversions",$A$3,"week",6,"browser","firefox")/GETPIVOTDATA("Sum of visits",$A$3,"week",6,"browser","firefox")</f>
        <v>0.57423074257244089</v>
      </c>
      <c r="P12" s="7">
        <f>GETPIVOTDATA("Sum of conversions",$A$3,"week",6,"browser","ie")/GETPIVOTDATA("Sum of visits",$A$3,"week",6,"browser","ie")</f>
        <v>0.4472864434006385</v>
      </c>
      <c r="Q12" s="7">
        <f>GETPIVOTDATA("Sum of conversions",$A$3,"week",6,"browser","safari")/GETPIVOTDATA("Sum of visits",$A$3,"week",6,"browser","safari")</f>
        <v>0.2488292413036968</v>
      </c>
    </row>
    <row r="13" spans="1:17" s="16" customFormat="1" x14ac:dyDescent="0.25">
      <c r="A13" s="13">
        <v>7</v>
      </c>
      <c r="B13" s="14">
        <v>3782447</v>
      </c>
      <c r="C13" s="14">
        <v>1414715</v>
      </c>
      <c r="D13" s="14">
        <v>630898</v>
      </c>
      <c r="E13" s="14">
        <v>387507</v>
      </c>
      <c r="F13" s="14">
        <v>1260135</v>
      </c>
      <c r="G13" s="14">
        <v>621686</v>
      </c>
      <c r="H13" s="14">
        <v>1260577</v>
      </c>
      <c r="I13" s="14">
        <v>368248</v>
      </c>
      <c r="J13" s="14"/>
      <c r="K13" s="14"/>
      <c r="L13" s="14">
        <v>6934057</v>
      </c>
      <c r="M13" s="14">
        <v>2792156</v>
      </c>
      <c r="N13" s="15">
        <f>GETPIVOTDATA("Sum of conversions",$A$3,"week",7,"browser","chrome")/GETPIVOTDATA("Sum of visits",$A$3,"week",7,"browser","chrome")</f>
        <v>0.37402110326992022</v>
      </c>
      <c r="O13" s="15">
        <f>GETPIVOTDATA("Sum of conversions",$A$3,"week",7,"browser","firefox")/GETPIVOTDATA("Sum of visits",$A$3,"week",7,"browser","firefox")</f>
        <v>0.61421497611341291</v>
      </c>
      <c r="P13" s="15">
        <f>GETPIVOTDATA("Sum of conversions",$A$3,"week",7,"browser","ie")/GETPIVOTDATA("Sum of visits",$A$3,"week",7,"browser","ie")</f>
        <v>0.49334872850924705</v>
      </c>
      <c r="Q13" s="15">
        <f>GETPIVOTDATA("Sum of conversions",$A$3,"week",7,"browser","safari")/GETPIVOTDATA("Sum of visits",$A$3,"week",7,"browser","safari")</f>
        <v>0.29212654205177468</v>
      </c>
    </row>
    <row r="14" spans="1:17" x14ac:dyDescent="0.25">
      <c r="A14" s="3">
        <v>8</v>
      </c>
      <c r="B14" s="4">
        <v>4209490</v>
      </c>
      <c r="C14" s="4">
        <v>1568617</v>
      </c>
      <c r="D14" s="4">
        <v>702517</v>
      </c>
      <c r="E14" s="4">
        <v>430436</v>
      </c>
      <c r="F14" s="4">
        <v>1402322</v>
      </c>
      <c r="G14" s="4">
        <v>689449</v>
      </c>
      <c r="H14" s="4">
        <v>1406652</v>
      </c>
      <c r="I14" s="4">
        <v>408819</v>
      </c>
      <c r="J14" s="4"/>
      <c r="K14" s="4"/>
      <c r="L14" s="4">
        <v>7720981</v>
      </c>
      <c r="M14" s="4">
        <v>3097321</v>
      </c>
      <c r="N14" s="7">
        <f>GETPIVOTDATA("Sum of conversions",$A$3,"week",8,"browser","chrome")/GETPIVOTDATA("Sum of visits",$A$3,"week",8,"browser","chrome")</f>
        <v>0.37263825309004178</v>
      </c>
      <c r="O14" s="7">
        <f>GETPIVOTDATA("Sum of conversions",$A$3,"week",8,"browser","firefox")/GETPIVOTDATA("Sum of visits",$A$3,"week",8,"browser","firefox")</f>
        <v>0.61270545766152273</v>
      </c>
      <c r="P14" s="7">
        <f>GETPIVOTDATA("Sum of conversions",$A$3,"week",8,"browser","ie")/GETPIVOTDATA("Sum of visits",$A$3,"week",8,"browser","ie")</f>
        <v>0.49164813787418299</v>
      </c>
      <c r="Q14" s="7">
        <f>GETPIVOTDATA("Sum of conversions",$A$3,"week",8,"browser","safari")/GETPIVOTDATA("Sum of visits",$A$3,"week",8,"browser","safari")</f>
        <v>0.29063265114612569</v>
      </c>
    </row>
    <row r="15" spans="1:17" x14ac:dyDescent="0.25">
      <c r="A15" s="3">
        <v>9</v>
      </c>
      <c r="B15" s="4">
        <v>4639226</v>
      </c>
      <c r="C15" s="4">
        <v>1721756</v>
      </c>
      <c r="D15" s="4">
        <v>773155</v>
      </c>
      <c r="E15" s="4">
        <v>472210</v>
      </c>
      <c r="F15" s="4">
        <v>1546836</v>
      </c>
      <c r="G15" s="4">
        <v>756781</v>
      </c>
      <c r="H15" s="4">
        <v>1543849</v>
      </c>
      <c r="I15" s="4">
        <v>446989</v>
      </c>
      <c r="J15" s="4"/>
      <c r="K15" s="4"/>
      <c r="L15" s="4">
        <v>8503066</v>
      </c>
      <c r="M15" s="4">
        <v>3397736</v>
      </c>
      <c r="N15" s="7">
        <f>GETPIVOTDATA("Sum of conversions",$A$3,"week",9,"browser","chrome")/GETPIVOTDATA("Sum of visits",$A$3,"week",9,"browser","chrome")</f>
        <v>0.37113001177351568</v>
      </c>
      <c r="O15" s="7">
        <f>GETPIVOTDATA("Sum of conversions",$A$3,"week",9,"browser","firefox")/GETPIVOTDATA("Sum of visits",$A$3,"week",9,"browser","firefox")</f>
        <v>0.61075722203180471</v>
      </c>
      <c r="P15" s="7">
        <f>GETPIVOTDATA("Sum of conversions",$A$3,"week",9,"browser","ie")/GETPIVOTDATA("Sum of visits",$A$3,"week",9,"browser","ie")</f>
        <v>0.48924449650770996</v>
      </c>
      <c r="Q15" s="7">
        <f>GETPIVOTDATA("Sum of conversions",$A$3,"week",9,"browser","safari")/GETPIVOTDATA("Sum of visits",$A$3,"week",9,"browser","safari")</f>
        <v>0.28952896300091524</v>
      </c>
    </row>
    <row r="16" spans="1:17" x14ac:dyDescent="0.25">
      <c r="A16" s="3">
        <v>10</v>
      </c>
      <c r="B16" s="4">
        <v>5069181</v>
      </c>
      <c r="C16" s="4">
        <v>1872152</v>
      </c>
      <c r="D16" s="4">
        <v>843790</v>
      </c>
      <c r="E16" s="4">
        <v>514001</v>
      </c>
      <c r="F16" s="4">
        <v>1689765</v>
      </c>
      <c r="G16" s="4">
        <v>824076</v>
      </c>
      <c r="H16" s="4">
        <v>1690849</v>
      </c>
      <c r="I16" s="4">
        <v>487228</v>
      </c>
      <c r="J16" s="4"/>
      <c r="K16" s="4"/>
      <c r="L16" s="4">
        <v>9293585</v>
      </c>
      <c r="M16" s="4">
        <v>3697457</v>
      </c>
      <c r="N16" s="7">
        <f>GETPIVOTDATA("Sum of conversions",$A$3,"week",10,"browser","chrome")/GETPIVOTDATA("Sum of visits",$A$3,"week",10,"browser","chrome")</f>
        <v>0.36932040895758111</v>
      </c>
      <c r="O16" s="7">
        <f>GETPIVOTDATA("Sum of conversions",$A$3,"week",10,"browser","firefox")/GETPIVOTDATA("Sum of visits",$A$3,"week",10,"browser","firefox")</f>
        <v>0.60915749179298162</v>
      </c>
      <c r="P16" s="7">
        <f>GETPIVOTDATA("Sum of conversions",$A$3,"week",10,"browser","ie")/GETPIVOTDATA("Sum of visits",$A$3,"week",10,"browser","ie")</f>
        <v>0.48768674934088468</v>
      </c>
      <c r="Q16" s="7">
        <f>GETPIVOTDATA("Sum of conversions",$A$3,"week",10,"browser","safari")/GETPIVOTDATA("Sum of visits",$A$3,"week",10,"browser","safari")</f>
        <v>0.28815583177445175</v>
      </c>
    </row>
    <row r="17" spans="1:17" x14ac:dyDescent="0.25">
      <c r="A17" s="3">
        <v>11</v>
      </c>
      <c r="B17" s="4">
        <v>5500521</v>
      </c>
      <c r="C17" s="4">
        <v>2021783</v>
      </c>
      <c r="D17" s="4">
        <v>915715</v>
      </c>
      <c r="E17" s="4">
        <v>555656</v>
      </c>
      <c r="F17" s="4">
        <v>1835819</v>
      </c>
      <c r="G17" s="4">
        <v>892948</v>
      </c>
      <c r="H17" s="4">
        <v>1835342</v>
      </c>
      <c r="I17" s="4">
        <v>525334</v>
      </c>
      <c r="J17" s="4"/>
      <c r="K17" s="4"/>
      <c r="L17" s="4">
        <v>10087397</v>
      </c>
      <c r="M17" s="4">
        <v>3995721</v>
      </c>
      <c r="N17" s="7">
        <f>GETPIVOTDATA("Sum of conversions",$A$3,"week",11,"browser","chrome")/GETPIVOTDATA("Sum of visits",$A$3,"week",11,"browser","chrome")</f>
        <v>0.36756209093647674</v>
      </c>
      <c r="O17" s="7">
        <f>GETPIVOTDATA("Sum of conversions",$A$3,"week",11,"browser","firefox")/GETPIVOTDATA("Sum of visits",$A$3,"week",11,"browser","firefox")</f>
        <v>0.60680015070191051</v>
      </c>
      <c r="P17" s="7">
        <f>GETPIVOTDATA("Sum of conversions",$A$3,"week",11,"browser","ie")/GETPIVOTDATA("Sum of visits",$A$3,"week",11,"browser","ie")</f>
        <v>0.48640307132674843</v>
      </c>
      <c r="Q17" s="7">
        <f>GETPIVOTDATA("Sum of conversions",$A$3,"week",11,"browser","safari")/GETPIVOTDATA("Sum of visits",$A$3,"week",11,"browser","safari")</f>
        <v>0.28623221176216751</v>
      </c>
    </row>
    <row r="18" spans="1:17" x14ac:dyDescent="0.25">
      <c r="A18" s="3">
        <v>12</v>
      </c>
      <c r="B18" s="4">
        <v>5937593</v>
      </c>
      <c r="C18" s="4">
        <v>2173635</v>
      </c>
      <c r="D18" s="4">
        <v>989989</v>
      </c>
      <c r="E18" s="4">
        <v>599429</v>
      </c>
      <c r="F18" s="4">
        <v>1978030</v>
      </c>
      <c r="G18" s="4">
        <v>960475</v>
      </c>
      <c r="H18" s="4">
        <v>1977360</v>
      </c>
      <c r="I18" s="4">
        <v>563449</v>
      </c>
      <c r="J18" s="4"/>
      <c r="K18" s="4"/>
      <c r="L18" s="4">
        <v>10882972</v>
      </c>
      <c r="M18" s="4">
        <v>4296988</v>
      </c>
      <c r="N18" s="7">
        <f>GETPIVOTDATA("Sum of conversions",$A$3,"week",12,"browser","chrome")/GETPIVOTDATA("Sum of visits",$A$3,"week",12,"browser","chrome")</f>
        <v>0.36608016076548189</v>
      </c>
      <c r="O18" s="7">
        <f>GETPIVOTDATA("Sum of conversions",$A$3,"week",12,"browser","firefox")/GETPIVOTDATA("Sum of visits",$A$3,"week",12,"browser","firefox")</f>
        <v>0.60549056605679452</v>
      </c>
      <c r="P18" s="7">
        <f>GETPIVOTDATA("Sum of conversions",$A$3,"week",12,"browser","ie")/GETPIVOTDATA("Sum of visits",$A$3,"week",12,"browser","ie")</f>
        <v>0.48557150296001578</v>
      </c>
      <c r="Q18" s="7">
        <f>GETPIVOTDATA("Sum of conversions",$A$3,"week",12,"browser","safari")/GETPIVOTDATA("Sum of visits",$A$3,"week",12,"browser","safari")</f>
        <v>0.28495013553424769</v>
      </c>
    </row>
    <row r="19" spans="1:17" x14ac:dyDescent="0.25">
      <c r="A19" s="3">
        <v>13</v>
      </c>
      <c r="B19" s="4">
        <v>6373247</v>
      </c>
      <c r="C19" s="4">
        <v>2323949</v>
      </c>
      <c r="D19" s="4">
        <v>1061055</v>
      </c>
      <c r="E19" s="4">
        <v>641581</v>
      </c>
      <c r="F19" s="4">
        <v>2124367</v>
      </c>
      <c r="G19" s="4">
        <v>1025108</v>
      </c>
      <c r="H19" s="4">
        <v>2124087</v>
      </c>
      <c r="I19" s="4">
        <v>599859</v>
      </c>
      <c r="J19" s="4"/>
      <c r="K19" s="4"/>
      <c r="L19" s="4">
        <v>11682756</v>
      </c>
      <c r="M19" s="4">
        <v>4590497</v>
      </c>
      <c r="N19" s="7">
        <f>GETPIVOTDATA("Sum of conversions",$A$3,"week",13,"browser","chrome")/GETPIVOTDATA("Sum of visits",$A$3,"week",13,"browser","chrome")</f>
        <v>0.36464128881243735</v>
      </c>
      <c r="O19" s="7">
        <f>GETPIVOTDATA("Sum of conversions",$A$3,"week",13,"browser","firefox")/GETPIVOTDATA("Sum of visits",$A$3,"week",13,"browser","firefox")</f>
        <v>0.60466328324167928</v>
      </c>
      <c r="P19" s="7">
        <f>GETPIVOTDATA("Sum of conversions",$A$3,"week",13,"browser","ie")/GETPIVOTDATA("Sum of visits",$A$3,"week",13,"browser","ie")</f>
        <v>0.482547507092701</v>
      </c>
      <c r="Q19" s="7">
        <f>GETPIVOTDATA("Sum of conversions",$A$3,"week",13,"browser","safari")/GETPIVOTDATA("Sum of visits",$A$3,"week",13,"browser","safari")</f>
        <v>0.28240792396921593</v>
      </c>
    </row>
    <row r="20" spans="1:17" x14ac:dyDescent="0.25">
      <c r="A20" s="3">
        <v>14</v>
      </c>
      <c r="B20" s="4">
        <v>6808554</v>
      </c>
      <c r="C20" s="4">
        <v>2472341</v>
      </c>
      <c r="D20" s="4">
        <v>1133161</v>
      </c>
      <c r="E20" s="4">
        <v>682731</v>
      </c>
      <c r="F20" s="4">
        <v>2270584</v>
      </c>
      <c r="G20" s="4">
        <v>1093396</v>
      </c>
      <c r="H20" s="4">
        <v>2268816</v>
      </c>
      <c r="I20" s="4">
        <v>639167</v>
      </c>
      <c r="J20" s="4"/>
      <c r="K20" s="4"/>
      <c r="L20" s="4">
        <v>12481115</v>
      </c>
      <c r="M20" s="4">
        <v>4887635</v>
      </c>
      <c r="N20" s="7">
        <f>GETPIVOTDATA("Sum of conversions",$A$3,"week",14,"browser","chrome")/GETPIVOTDATA("Sum of visits",$A$3,"week",14,"browser","chrome")</f>
        <v>0.36312277173684748</v>
      </c>
      <c r="O20" s="7">
        <f>GETPIVOTDATA("Sum of conversions",$A$3,"week",14,"browser","firefox")/GETPIVOTDATA("Sum of visits",$A$3,"week",14,"browser","firefox")</f>
        <v>0.60250132152447888</v>
      </c>
      <c r="P20" s="7">
        <f>GETPIVOTDATA("Sum of conversions",$A$3,"week",14,"browser","ie")/GETPIVOTDATA("Sum of visits",$A$3,"week",14,"browser","ie")</f>
        <v>0.48154835936481538</v>
      </c>
      <c r="Q20" s="7">
        <f>GETPIVOTDATA("Sum of conversions",$A$3,"week",14,"browser","safari")/GETPIVOTDATA("Sum of visits",$A$3,"week",14,"browser","safari")</f>
        <v>0.28171830593578323</v>
      </c>
    </row>
    <row r="21" spans="1:17" x14ac:dyDescent="0.25">
      <c r="A21" s="3">
        <v>15</v>
      </c>
      <c r="B21" s="4">
        <v>7250189</v>
      </c>
      <c r="C21" s="4">
        <v>2617237</v>
      </c>
      <c r="D21" s="4">
        <v>1210048</v>
      </c>
      <c r="E21" s="4">
        <v>727233</v>
      </c>
      <c r="F21" s="4">
        <v>2412114</v>
      </c>
      <c r="G21" s="4">
        <v>1157989</v>
      </c>
      <c r="H21" s="4">
        <v>2416356</v>
      </c>
      <c r="I21" s="4">
        <v>675813</v>
      </c>
      <c r="J21" s="4"/>
      <c r="K21" s="4"/>
      <c r="L21" s="4">
        <v>13288707</v>
      </c>
      <c r="M21" s="4">
        <v>5178272</v>
      </c>
      <c r="N21" s="7">
        <f>GETPIVOTDATA("Sum of conversions",$A$3,"week",15,"browser","chrome")/GETPIVOTDATA("Sum of visits",$A$3,"week",15,"browser","chrome")</f>
        <v>0.36098879629206909</v>
      </c>
      <c r="O21" s="7">
        <f>GETPIVOTDATA("Sum of conversions",$A$3,"week",15,"browser","firefox")/GETPIVOTDATA("Sum of visits",$A$3,"week",15,"browser","firefox")</f>
        <v>0.6009951671338658</v>
      </c>
      <c r="P21" s="7">
        <f>GETPIVOTDATA("Sum of conversions",$A$3,"week",15,"browser","ie")/GETPIVOTDATA("Sum of visits",$A$3,"week",15,"browser","ie")</f>
        <v>0.48007225197482373</v>
      </c>
      <c r="Q21" s="7">
        <f>GETPIVOTDATA("Sum of conversions",$A$3,"week",15,"browser","safari")/GETPIVOTDATA("Sum of visits",$A$3,"week",15,"browser","safari")</f>
        <v>0.2796827123155694</v>
      </c>
    </row>
    <row r="22" spans="1:17" x14ac:dyDescent="0.25">
      <c r="A22" s="3">
        <v>16</v>
      </c>
      <c r="B22" s="4">
        <v>7685109</v>
      </c>
      <c r="C22" s="4">
        <v>2763775</v>
      </c>
      <c r="D22" s="4">
        <v>1281876</v>
      </c>
      <c r="E22" s="4">
        <v>768636</v>
      </c>
      <c r="F22" s="4">
        <v>2563416</v>
      </c>
      <c r="G22" s="4">
        <v>1226812</v>
      </c>
      <c r="H22" s="4">
        <v>2564794</v>
      </c>
      <c r="I22" s="4">
        <v>714683</v>
      </c>
      <c r="J22" s="4"/>
      <c r="K22" s="4"/>
      <c r="L22" s="4">
        <v>14095195</v>
      </c>
      <c r="M22" s="4">
        <v>5473906</v>
      </c>
      <c r="N22" s="7">
        <f>GETPIVOTDATA("Sum of conversions",$A$3,"week",16,"browser","chrome")/GETPIVOTDATA("Sum of visits",$A$3,"week",16,"browser","chrome")</f>
        <v>0.35962730001617416</v>
      </c>
      <c r="O22" s="7">
        <f>GETPIVOTDATA("Sum of conversions",$A$3,"week",16,"browser","firefox")/GETPIVOTDATA("Sum of visits",$A$3,"week",16,"browser","firefox")</f>
        <v>0.59961805978113325</v>
      </c>
      <c r="P22" s="7">
        <f>GETPIVOTDATA("Sum of conversions",$A$3,"week",16,"browser","ie")/GETPIVOTDATA("Sum of visits",$A$3,"week",16,"browser","ie")</f>
        <v>0.47858482587297574</v>
      </c>
      <c r="Q22" s="7">
        <f>GETPIVOTDATA("Sum of conversions",$A$3,"week",16,"browser","safari")/GETPIVOTDATA("Sum of visits",$A$3,"week",16,"browser","safari")</f>
        <v>0.27865122890961225</v>
      </c>
    </row>
    <row r="23" spans="1:17" x14ac:dyDescent="0.25">
      <c r="A23" s="3">
        <v>17</v>
      </c>
      <c r="B23" s="4">
        <v>8128150</v>
      </c>
      <c r="C23" s="4">
        <v>2908233</v>
      </c>
      <c r="D23" s="4">
        <v>1355162</v>
      </c>
      <c r="E23" s="4">
        <v>808349</v>
      </c>
      <c r="F23" s="4">
        <v>2710783</v>
      </c>
      <c r="G23" s="4">
        <v>1291739</v>
      </c>
      <c r="H23" s="4">
        <v>2710802</v>
      </c>
      <c r="I23" s="4">
        <v>751635</v>
      </c>
      <c r="J23" s="4"/>
      <c r="K23" s="4"/>
      <c r="L23" s="4">
        <v>14904897</v>
      </c>
      <c r="M23" s="4">
        <v>5759956</v>
      </c>
      <c r="N23" s="7">
        <f>GETPIVOTDATA("Sum of conversions",$A$3,"week",17,"browser","chrome")/GETPIVOTDATA("Sum of visits",$A$3,"week",17,"browser","chrome")</f>
        <v>0.35779765383266793</v>
      </c>
      <c r="O23" s="7">
        <f>GETPIVOTDATA("Sum of conversions",$A$3,"week",17,"browser","firefox")/GETPIVOTDATA("Sum of visits",$A$3,"week",17,"browser","firefox")</f>
        <v>0.59649621226096949</v>
      </c>
      <c r="P23" s="7">
        <f>GETPIVOTDATA("Sum of conversions",$A$3,"week",17,"browser","ie")/GETPIVOTDATA("Sum of visits",$A$3,"week",17,"browser","ie")</f>
        <v>0.47651877704707457</v>
      </c>
      <c r="Q23" s="7">
        <f>GETPIVOTDATA("Sum of conversions",$A$3,"week",17,"browser","safari")/GETPIVOTDATA("Sum of visits",$A$3,"week",17,"browser","safari")</f>
        <v>0.27727403181789007</v>
      </c>
    </row>
    <row r="24" spans="1:17" x14ac:dyDescent="0.25">
      <c r="A24" s="3">
        <v>18</v>
      </c>
      <c r="B24" s="4">
        <v>8574335</v>
      </c>
      <c r="C24" s="4">
        <v>3058629</v>
      </c>
      <c r="D24" s="4">
        <v>1428663</v>
      </c>
      <c r="E24" s="4">
        <v>852210</v>
      </c>
      <c r="F24" s="4">
        <v>2857018</v>
      </c>
      <c r="G24" s="4">
        <v>1355528</v>
      </c>
      <c r="H24" s="4">
        <v>2858958</v>
      </c>
      <c r="I24" s="4">
        <v>788736</v>
      </c>
      <c r="J24" s="4"/>
      <c r="K24" s="4"/>
      <c r="L24" s="4">
        <v>15718974</v>
      </c>
      <c r="M24" s="4">
        <v>6055103</v>
      </c>
      <c r="N24" s="7">
        <f>GETPIVOTDATA("Sum of conversions",$A$3,"week",18,"browser","chrome")/GETPIVOTDATA("Sum of visits",$A$3,"week",18,"browser","chrome")</f>
        <v>0.3567190925010511</v>
      </c>
      <c r="O24" s="7">
        <f>GETPIVOTDATA("Sum of conversions",$A$3,"week",18,"browser","firefox")/GETPIVOTDATA("Sum of visits",$A$3,"week",18,"browser","firefox")</f>
        <v>0.59650876378824114</v>
      </c>
      <c r="P24" s="7">
        <f>GETPIVOTDATA("Sum of conversions",$A$3,"week",18,"browser","ie")/GETPIVOTDATA("Sum of visits",$A$3,"week",18,"browser","ie")</f>
        <v>0.47445553370682297</v>
      </c>
      <c r="Q24" s="7">
        <f>GETPIVOTDATA("Sum of conversions",$A$3,"week",18,"browser","safari")/GETPIVOTDATA("Sum of visits",$A$3,"week",18,"browser","safari")</f>
        <v>0.27588233195450929</v>
      </c>
    </row>
    <row r="25" spans="1:17" x14ac:dyDescent="0.25">
      <c r="A25" s="3">
        <v>19</v>
      </c>
      <c r="B25" s="4">
        <v>9022189</v>
      </c>
      <c r="C25" s="4">
        <v>3201459</v>
      </c>
      <c r="D25" s="4">
        <v>1504639</v>
      </c>
      <c r="E25" s="4">
        <v>893598</v>
      </c>
      <c r="F25" s="4">
        <v>3005628</v>
      </c>
      <c r="G25" s="4">
        <v>1423270</v>
      </c>
      <c r="H25" s="4">
        <v>3006904</v>
      </c>
      <c r="I25" s="4">
        <v>824734</v>
      </c>
      <c r="J25" s="4"/>
      <c r="K25" s="4"/>
      <c r="L25" s="4">
        <v>16539360</v>
      </c>
      <c r="M25" s="4">
        <v>6343061</v>
      </c>
      <c r="N25" s="7">
        <f>GETPIVOTDATA("Sum of conversions",$A$3,"week",19,"browser","chrome")/GETPIVOTDATA("Sum of visits",$A$3,"week",19,"browser","chrome")</f>
        <v>0.35484282140398521</v>
      </c>
      <c r="O25" s="7">
        <f>GETPIVOTDATA("Sum of conversions",$A$3,"week",19,"browser","firefox")/GETPIVOTDATA("Sum of visits",$A$3,"week",19,"browser","firefox")</f>
        <v>0.59389527986447244</v>
      </c>
      <c r="P25" s="7">
        <f>GETPIVOTDATA("Sum of conversions",$A$3,"week",19,"browser","ie")/GETPIVOTDATA("Sum of visits",$A$3,"week",19,"browser","ie")</f>
        <v>0.47353498170764979</v>
      </c>
      <c r="Q25" s="7">
        <f>GETPIVOTDATA("Sum of conversions",$A$3,"week",19,"browser","safari")/GETPIVOTDATA("Sum of visits",$A$3,"week",19,"browser","safari")</f>
        <v>0.27428012334281376</v>
      </c>
    </row>
    <row r="26" spans="1:17" x14ac:dyDescent="0.25">
      <c r="A26" s="3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7" x14ac:dyDescent="0.25">
      <c r="A27" s="3" t="s">
        <v>20</v>
      </c>
      <c r="B27" s="4">
        <v>95825265</v>
      </c>
      <c r="C27" s="4">
        <v>34372239</v>
      </c>
      <c r="D27" s="4">
        <v>15969172</v>
      </c>
      <c r="E27" s="4">
        <v>9569277</v>
      </c>
      <c r="F27" s="4">
        <v>31937898</v>
      </c>
      <c r="G27" s="4">
        <v>15248626</v>
      </c>
      <c r="H27" s="4">
        <v>31950053</v>
      </c>
      <c r="I27" s="4">
        <v>8876697</v>
      </c>
      <c r="J27" s="4"/>
      <c r="K27" s="4"/>
      <c r="L27" s="4">
        <v>175682388</v>
      </c>
      <c r="M27" s="4">
        <v>68066839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6266-AE5B-4C10-ABC6-58FECC59D606}">
  <sheetPr>
    <tabColor theme="6" tint="0.59999389629810485"/>
  </sheetPr>
  <dimension ref="A3:AG27"/>
  <sheetViews>
    <sheetView zoomScale="92" zoomScaleNormal="92" workbookViewId="0">
      <pane xSplit="7" ySplit="18" topLeftCell="H19" activePane="bottomRight" state="frozen"/>
      <selection pane="topRight" activeCell="H1" sqref="H1"/>
      <selection pane="bottomLeft" activeCell="A19" sqref="A19"/>
      <selection pane="bottomRight" activeCell="X33" sqref="X33"/>
    </sheetView>
  </sheetViews>
  <sheetFormatPr defaultRowHeight="13.2" x14ac:dyDescent="0.25"/>
  <cols>
    <col min="1" max="1" width="13.33203125" bestFit="1" customWidth="1"/>
    <col min="2" max="2" width="16.21875" bestFit="1" customWidth="1"/>
    <col min="3" max="3" width="18.5546875" bestFit="1" customWidth="1"/>
    <col min="4" max="4" width="12.21875" bestFit="1" customWidth="1"/>
    <col min="5" max="5" width="18.5546875" bestFit="1" customWidth="1"/>
    <col min="6" max="6" width="12.21875" bestFit="1" customWidth="1"/>
    <col min="7" max="7" width="18.5546875" bestFit="1" customWidth="1"/>
    <col min="8" max="8" width="12.21875" bestFit="1" customWidth="1"/>
    <col min="9" max="9" width="18.5546875" bestFit="1" customWidth="1"/>
    <col min="10" max="10" width="12.21875" bestFit="1" customWidth="1"/>
    <col min="11" max="11" width="18.5546875" bestFit="1" customWidth="1"/>
    <col min="12" max="12" width="12.21875" bestFit="1" customWidth="1"/>
    <col min="13" max="13" width="18.5546875" bestFit="1" customWidth="1"/>
    <col min="14" max="14" width="12.21875" bestFit="1" customWidth="1"/>
    <col min="15" max="15" width="18.5546875" bestFit="1" customWidth="1"/>
    <col min="16" max="16" width="12.21875" bestFit="1" customWidth="1"/>
    <col min="17" max="17" width="18.5546875" bestFit="1" customWidth="1"/>
    <col min="18" max="18" width="12.21875" bestFit="1" customWidth="1"/>
    <col min="19" max="19" width="18.5546875" bestFit="1" customWidth="1"/>
    <col min="20" max="20" width="12.21875" bestFit="1" customWidth="1"/>
    <col min="21" max="21" width="18.5546875" bestFit="1" customWidth="1"/>
    <col min="22" max="22" width="12.21875" bestFit="1" customWidth="1"/>
    <col min="23" max="23" width="18.5546875" bestFit="1" customWidth="1"/>
    <col min="24" max="24" width="17.33203125" bestFit="1" customWidth="1"/>
    <col min="25" max="25" width="23.5546875" bestFit="1" customWidth="1"/>
  </cols>
  <sheetData>
    <row r="3" spans="1:33" x14ac:dyDescent="0.25">
      <c r="B3" s="2" t="s">
        <v>27</v>
      </c>
    </row>
    <row r="4" spans="1:33" x14ac:dyDescent="0.25">
      <c r="B4" t="s">
        <v>6</v>
      </c>
      <c r="D4" t="s">
        <v>7</v>
      </c>
      <c r="F4" t="s">
        <v>8</v>
      </c>
      <c r="H4" t="s">
        <v>9</v>
      </c>
      <c r="J4" t="s">
        <v>10</v>
      </c>
      <c r="L4" t="s">
        <v>11</v>
      </c>
      <c r="N4" t="s">
        <v>12</v>
      </c>
      <c r="P4" t="s">
        <v>13</v>
      </c>
      <c r="R4" t="s">
        <v>14</v>
      </c>
      <c r="T4" t="s">
        <v>15</v>
      </c>
      <c r="V4" t="s">
        <v>26</v>
      </c>
      <c r="X4" t="s">
        <v>28</v>
      </c>
      <c r="Y4" t="s">
        <v>29</v>
      </c>
      <c r="Z4" s="23" t="s">
        <v>6</v>
      </c>
      <c r="AA4" s="23" t="s">
        <v>7</v>
      </c>
      <c r="AB4" s="23" t="s">
        <v>8</v>
      </c>
      <c r="AC4" s="23" t="s">
        <v>9</v>
      </c>
      <c r="AD4" s="23" t="s">
        <v>10</v>
      </c>
      <c r="AE4" s="23" t="s">
        <v>11</v>
      </c>
      <c r="AF4" s="23" t="s">
        <v>12</v>
      </c>
    </row>
    <row r="5" spans="1:33" x14ac:dyDescent="0.25">
      <c r="A5" s="2" t="s">
        <v>19</v>
      </c>
      <c r="B5" t="s">
        <v>21</v>
      </c>
      <c r="C5" t="s">
        <v>22</v>
      </c>
      <c r="D5" t="s">
        <v>21</v>
      </c>
      <c r="E5" t="s">
        <v>22</v>
      </c>
      <c r="F5" t="s">
        <v>21</v>
      </c>
      <c r="G5" t="s">
        <v>22</v>
      </c>
      <c r="H5" t="s">
        <v>21</v>
      </c>
      <c r="I5" t="s">
        <v>22</v>
      </c>
      <c r="J5" t="s">
        <v>21</v>
      </c>
      <c r="K5" t="s">
        <v>22</v>
      </c>
      <c r="L5" t="s">
        <v>21</v>
      </c>
      <c r="M5" t="s">
        <v>22</v>
      </c>
      <c r="N5" t="s">
        <v>21</v>
      </c>
      <c r="O5" t="s">
        <v>22</v>
      </c>
      <c r="P5" t="s">
        <v>21</v>
      </c>
      <c r="Q5" t="s">
        <v>22</v>
      </c>
      <c r="R5" t="s">
        <v>21</v>
      </c>
      <c r="S5" t="s">
        <v>22</v>
      </c>
      <c r="T5" t="s">
        <v>21</v>
      </c>
      <c r="U5" t="s">
        <v>22</v>
      </c>
      <c r="V5" t="s">
        <v>21</v>
      </c>
      <c r="W5" t="s">
        <v>22</v>
      </c>
      <c r="Z5" s="7"/>
      <c r="AA5" s="7"/>
      <c r="AB5" s="7"/>
    </row>
    <row r="6" spans="1:33" x14ac:dyDescent="0.25">
      <c r="A6" s="3">
        <v>0</v>
      </c>
      <c r="B6" s="4">
        <v>443021</v>
      </c>
      <c r="C6" s="4">
        <v>61909</v>
      </c>
      <c r="D6" s="4">
        <v>33032</v>
      </c>
      <c r="E6" s="4">
        <v>7074</v>
      </c>
      <c r="F6" s="4">
        <v>187120</v>
      </c>
      <c r="G6" s="4">
        <v>141342</v>
      </c>
      <c r="H6" s="4">
        <v>221435</v>
      </c>
      <c r="I6" s="4">
        <v>82784</v>
      </c>
      <c r="J6" s="4">
        <v>65331</v>
      </c>
      <c r="K6" s="4">
        <v>54199</v>
      </c>
      <c r="L6" s="4">
        <v>33099</v>
      </c>
      <c r="M6" s="4">
        <v>5835</v>
      </c>
      <c r="N6" s="4">
        <v>21736</v>
      </c>
      <c r="O6" s="4">
        <v>4660</v>
      </c>
      <c r="P6" s="4">
        <v>220540</v>
      </c>
      <c r="Q6" s="4">
        <v>102327</v>
      </c>
      <c r="R6" s="4">
        <v>65828</v>
      </c>
      <c r="S6" s="4">
        <v>4435</v>
      </c>
      <c r="T6" s="4">
        <v>44765</v>
      </c>
      <c r="U6" s="4">
        <v>25419</v>
      </c>
      <c r="V6" s="4"/>
      <c r="W6" s="4"/>
      <c r="X6" s="4">
        <v>1335907</v>
      </c>
      <c r="Y6" s="4">
        <v>489984</v>
      </c>
      <c r="Z6" s="7">
        <f>GETPIVOTDATA("Sum of conversions",$A$3,"week",0,"country","AA")/GETPIVOTDATA("Sum of visits",$A$3,"week",0,"country","AA")</f>
        <v>0.13974281128885538</v>
      </c>
      <c r="AA6" s="7">
        <f>GETPIVOTDATA("Sum of conversions",$A$3,"week",0,"country","AB")/GETPIVOTDATA("Sum of visits",$A$3,"week",0,"country","AB")</f>
        <v>0.21415596996851538</v>
      </c>
      <c r="AB6" s="7">
        <f>GETPIVOTDATA("Sum of conversions",$A$3,"week",0,"country","AC")/GETPIVOTDATA("Sum of visits",$A$3,"week",0,"country","AC")</f>
        <v>0.75535485250106882</v>
      </c>
      <c r="AC6" s="7">
        <f>GETPIVOTDATA("Sum of conversions",$A$3,"week",0,"country","AD")/GETPIVOTDATA("Sum of visits",$A$3,"week",0,"country","AD")</f>
        <v>0.37385237202790889</v>
      </c>
      <c r="AD6" s="7">
        <f>GETPIVOTDATA("Sum of conversions",$A$3,"week",0,"country","AE")/GETPIVOTDATA("Sum of visits",$A$3,"week",0,"country","AE")</f>
        <v>0.82960615940365212</v>
      </c>
      <c r="AE6" s="7">
        <f>GETPIVOTDATA("Sum of conversions",$A$3,"week",0,"country","AF")/GETPIVOTDATA("Sum of visits",$A$3,"week",0,"country","AF")</f>
        <v>0.17628931387655217</v>
      </c>
      <c r="AF6" s="7">
        <f>GETPIVOTDATA("Sum of conversions",$A$3,"week",0,"country","AG")/GETPIVOTDATA("Sum of visits",$A$3,"week",0,"country","AG")</f>
        <v>0.21439087228560913</v>
      </c>
    </row>
    <row r="7" spans="1:33" x14ac:dyDescent="0.25">
      <c r="A7" s="3">
        <v>1</v>
      </c>
      <c r="B7" s="4">
        <v>666718</v>
      </c>
      <c r="C7" s="4">
        <v>92697</v>
      </c>
      <c r="D7" s="4">
        <v>50230</v>
      </c>
      <c r="E7" s="4">
        <v>10462</v>
      </c>
      <c r="F7" s="4">
        <v>279669</v>
      </c>
      <c r="G7" s="4">
        <v>210478</v>
      </c>
      <c r="H7" s="4">
        <v>331959</v>
      </c>
      <c r="I7" s="4">
        <v>123182</v>
      </c>
      <c r="J7" s="4">
        <v>97350</v>
      </c>
      <c r="K7" s="4">
        <v>80467</v>
      </c>
      <c r="L7" s="4">
        <v>50496</v>
      </c>
      <c r="M7" s="4">
        <v>8939</v>
      </c>
      <c r="N7" s="4">
        <v>32319</v>
      </c>
      <c r="O7" s="4">
        <v>6812</v>
      </c>
      <c r="P7" s="4">
        <v>331435</v>
      </c>
      <c r="Q7" s="4">
        <v>154014</v>
      </c>
      <c r="R7" s="4">
        <v>97920</v>
      </c>
      <c r="S7" s="4">
        <v>6614</v>
      </c>
      <c r="T7" s="4">
        <v>67226</v>
      </c>
      <c r="U7" s="4">
        <v>38483</v>
      </c>
      <c r="V7" s="4"/>
      <c r="W7" s="4"/>
      <c r="X7" s="4">
        <v>2005322</v>
      </c>
      <c r="Y7" s="4">
        <v>732148</v>
      </c>
      <c r="Z7" s="7">
        <f>GETPIVOTDATA("Sum of conversions",$A$3,"week",1,"country","AA")/GETPIVOTDATA("Sum of visits",$A$3,"week",1,"country","AA")</f>
        <v>0.13903479432083729</v>
      </c>
      <c r="AA7" s="7">
        <f>GETPIVOTDATA("Sum of conversions",$A$3,"week",1,"country","AB")/GETPIVOTDATA("Sum of visits",$A$3,"week",1,"country","AB")</f>
        <v>0.20828190324507267</v>
      </c>
      <c r="AB7" s="7">
        <f>GETPIVOTDATA("Sum of conversions",$A$3,"week",1,"country","AC")/GETPIVOTDATA("Sum of visits",$A$3,"week",1,"country","AC")</f>
        <v>0.752596819811992</v>
      </c>
      <c r="AC7" s="7">
        <f>GETPIVOTDATA("Sum of conversions",$A$3,"week",1,"country","AD")/GETPIVOTDATA("Sum of visits",$A$3,"week",1,"country","AD")</f>
        <v>0.37107594612587697</v>
      </c>
      <c r="AD7" s="7">
        <f>GETPIVOTDATA("Sum of conversions",$A$3,"week",1,"country","AE")/GETPIVOTDATA("Sum of visits",$A$3,"week",1,"country","AE")</f>
        <v>0.82657421674370823</v>
      </c>
      <c r="AE7" s="7">
        <f>GETPIVOTDATA("Sum of conversions",$A$3,"week",1,"country","AF")/GETPIVOTDATA("Sum of visits",$A$3,"week",1,"country","AF")</f>
        <v>0.1770239226869455</v>
      </c>
      <c r="AF7" s="7">
        <f>GETPIVOTDATA("Sum of conversions",$A$3,"week",1,"country","AG")/GETPIVOTDATA("Sum of visits",$A$3,"week",1,"country","AG")</f>
        <v>0.21077384820074879</v>
      </c>
    </row>
    <row r="8" spans="1:33" x14ac:dyDescent="0.25">
      <c r="A8" s="3">
        <v>2</v>
      </c>
      <c r="B8" s="4">
        <v>893845</v>
      </c>
      <c r="C8" s="4">
        <v>123278</v>
      </c>
      <c r="D8" s="4">
        <v>67082</v>
      </c>
      <c r="E8" s="4">
        <v>14115</v>
      </c>
      <c r="F8" s="4">
        <v>373528</v>
      </c>
      <c r="G8" s="4">
        <v>280828</v>
      </c>
      <c r="H8" s="4">
        <v>444240</v>
      </c>
      <c r="I8" s="4">
        <v>164822</v>
      </c>
      <c r="J8" s="4">
        <v>129905</v>
      </c>
      <c r="K8" s="4">
        <v>107197</v>
      </c>
      <c r="L8" s="4">
        <v>67263</v>
      </c>
      <c r="M8" s="4">
        <v>11965</v>
      </c>
      <c r="N8" s="4">
        <v>42456</v>
      </c>
      <c r="O8" s="4">
        <v>8844</v>
      </c>
      <c r="P8" s="4">
        <v>444956</v>
      </c>
      <c r="Q8" s="4">
        <v>206973</v>
      </c>
      <c r="R8" s="4">
        <v>129440</v>
      </c>
      <c r="S8" s="4">
        <v>8475</v>
      </c>
      <c r="T8" s="4">
        <v>90917</v>
      </c>
      <c r="U8" s="4">
        <v>51662</v>
      </c>
      <c r="V8" s="4"/>
      <c r="W8" s="4"/>
      <c r="X8" s="4">
        <v>2683632</v>
      </c>
      <c r="Y8" s="4">
        <v>978159</v>
      </c>
      <c r="Z8" s="7">
        <f>GETPIVOTDATA("Sum of conversions",$A$3,"week",2,"country","AA")/GETPIVOTDATA("Sum of visits",$A$3,"week",2,"country","AA")</f>
        <v>0.13791876667654906</v>
      </c>
      <c r="AA8" s="7">
        <f>GETPIVOTDATA("Sum of conversions",$A$3,"week",2,"country","AB")/GETPIVOTDATA("Sum of visits",$A$3,"week",2,"country","AB")</f>
        <v>0.21041412003219939</v>
      </c>
      <c r="AB8" s="7">
        <f>GETPIVOTDATA("Sum of conversions",$A$3,"week",2,"country","AC")/GETPIVOTDATA("Sum of visits",$A$3,"week",2,"country","AC")</f>
        <v>0.75182583367244227</v>
      </c>
      <c r="AC8" s="7">
        <f>GETPIVOTDATA("Sum of conversions",$A$3,"week",2,"country","AD")/GETPIVOTDATA("Sum of visits",$A$3,"week",2,"country","AD")</f>
        <v>0.3710201692778678</v>
      </c>
      <c r="AD8" s="7">
        <f>GETPIVOTDATA("Sum of conversions",$A$3,"week",2,"country","AE")/GETPIVOTDATA("Sum of visits",$A$3,"week",2,"country","AE")</f>
        <v>0.82519533505253839</v>
      </c>
      <c r="AE8" s="7">
        <f>GETPIVOTDATA("Sum of conversions",$A$3,"week",2,"country","AF")/GETPIVOTDATA("Sum of visits",$A$3,"week",2,"country","AF")</f>
        <v>0.17788382914826872</v>
      </c>
      <c r="AF8" s="7">
        <f>GETPIVOTDATA("Sum of conversions",$A$3,"week",2,"country","AG")/GETPIVOTDATA("Sum of visits",$A$3,"week",2,"country","AG")</f>
        <v>0.20830977953646126</v>
      </c>
    </row>
    <row r="9" spans="1:33" x14ac:dyDescent="0.25">
      <c r="A9" s="3">
        <v>3</v>
      </c>
      <c r="B9" s="4">
        <v>1123483</v>
      </c>
      <c r="C9" s="4">
        <v>153967</v>
      </c>
      <c r="D9" s="4">
        <v>84652</v>
      </c>
      <c r="E9" s="4">
        <v>17143</v>
      </c>
      <c r="F9" s="4">
        <v>464249</v>
      </c>
      <c r="G9" s="4">
        <v>348377</v>
      </c>
      <c r="H9" s="4">
        <v>556523</v>
      </c>
      <c r="I9" s="4">
        <v>204863</v>
      </c>
      <c r="J9" s="4">
        <v>160666</v>
      </c>
      <c r="K9" s="4">
        <v>132376</v>
      </c>
      <c r="L9" s="4">
        <v>84629</v>
      </c>
      <c r="M9" s="4">
        <v>14690</v>
      </c>
      <c r="N9" s="4">
        <v>52867</v>
      </c>
      <c r="O9" s="4">
        <v>10943</v>
      </c>
      <c r="P9" s="4">
        <v>556478</v>
      </c>
      <c r="Q9" s="4">
        <v>257807</v>
      </c>
      <c r="R9" s="4">
        <v>160837</v>
      </c>
      <c r="S9" s="4">
        <v>10177</v>
      </c>
      <c r="T9" s="4">
        <v>113967</v>
      </c>
      <c r="U9" s="4">
        <v>64654</v>
      </c>
      <c r="V9" s="4"/>
      <c r="W9" s="4"/>
      <c r="X9" s="4">
        <v>3358351</v>
      </c>
      <c r="Y9" s="4">
        <v>1214997</v>
      </c>
      <c r="Z9" s="7">
        <f>GETPIVOTDATA("Sum of conversions",$A$3,"week",3,"country","AA")/GETPIVOTDATA("Sum of visits",$A$3,"week",3,"country","AA")</f>
        <v>0.1370443522509909</v>
      </c>
      <c r="AA9" s="7">
        <f>GETPIVOTDATA("Sum of conversions",$A$3,"week",3,"country","AB")/GETPIVOTDATA("Sum of visits",$A$3,"week",3,"country","AB")</f>
        <v>0.2025114586778812</v>
      </c>
      <c r="AB9" s="7">
        <f>GETPIVOTDATA("Sum of conversions",$A$3,"week",3,"country","AC")/GETPIVOTDATA("Sum of visits",$A$3,"week",3,"country","AC")</f>
        <v>0.75040980163662174</v>
      </c>
      <c r="AC9" s="7">
        <f>GETPIVOTDATA("Sum of conversions",$A$3,"week",3,"country","AD")/GETPIVOTDATA("Sum of visits",$A$3,"week",3,"country","AD")</f>
        <v>0.36811236912041373</v>
      </c>
      <c r="AD9" s="7">
        <f>GETPIVOTDATA("Sum of conversions",$A$3,"week",3,"country","AE")/GETPIVOTDATA("Sum of visits",$A$3,"week",3,"country","AE")</f>
        <v>0.82392043120510872</v>
      </c>
      <c r="AE9" s="7">
        <f>GETPIVOTDATA("Sum of conversions",$A$3,"week",3,"country","AF")/GETPIVOTDATA("Sum of visits",$A$3,"week",3,"country","AF")</f>
        <v>0.17358116012241667</v>
      </c>
      <c r="AF9" s="7">
        <f>GETPIVOTDATA("Sum of conversions",$A$3,"week",3,"country","AG")/GETPIVOTDATA("Sum of visits",$A$3,"week",3,"country","AG")</f>
        <v>0.20699112868140807</v>
      </c>
    </row>
    <row r="10" spans="1:33" x14ac:dyDescent="0.25">
      <c r="A10" s="3">
        <v>4</v>
      </c>
      <c r="B10" s="4">
        <v>1352537</v>
      </c>
      <c r="C10" s="4">
        <v>185009</v>
      </c>
      <c r="D10" s="4">
        <v>102887</v>
      </c>
      <c r="E10" s="4">
        <v>21058</v>
      </c>
      <c r="F10" s="4">
        <v>557187</v>
      </c>
      <c r="G10" s="4">
        <v>418485</v>
      </c>
      <c r="H10" s="4">
        <v>669377</v>
      </c>
      <c r="I10" s="4">
        <v>245456</v>
      </c>
      <c r="J10" s="4">
        <v>190078</v>
      </c>
      <c r="K10" s="4">
        <v>156240</v>
      </c>
      <c r="L10" s="4">
        <v>101885</v>
      </c>
      <c r="M10" s="4">
        <v>17651</v>
      </c>
      <c r="N10" s="4">
        <v>62196</v>
      </c>
      <c r="O10" s="4">
        <v>12810</v>
      </c>
      <c r="P10" s="4">
        <v>669917</v>
      </c>
      <c r="Q10" s="4">
        <v>310748</v>
      </c>
      <c r="R10" s="4">
        <v>191733</v>
      </c>
      <c r="S10" s="4">
        <v>12084</v>
      </c>
      <c r="T10" s="4">
        <v>138356</v>
      </c>
      <c r="U10" s="4">
        <v>78265</v>
      </c>
      <c r="V10" s="4"/>
      <c r="W10" s="4"/>
      <c r="X10" s="4">
        <v>4036153</v>
      </c>
      <c r="Y10" s="4">
        <v>1457806</v>
      </c>
      <c r="Z10" s="7">
        <f>GETPIVOTDATA("Sum of conversions",$A$3,"week",4,"country","AA")/GETPIVOTDATA("Sum of visits",$A$3,"week",4,"country","AA")</f>
        <v>0.13678664613241634</v>
      </c>
      <c r="AA10" s="7">
        <f>GETPIVOTDATA("Sum of conversions",$A$3,"week",4,"country","AB")/GETPIVOTDATA("Sum of visits",$A$3,"week",4,"country","AB")</f>
        <v>0.20467114407067949</v>
      </c>
      <c r="AB10" s="7">
        <f>GETPIVOTDATA("Sum of conversions",$A$3,"week",4,"country","AC")/GETPIVOTDATA("Sum of visits",$A$3,"week",4,"country","AC")</f>
        <v>0.7510674154278546</v>
      </c>
      <c r="AC10" s="7">
        <f>GETPIVOTDATA("Sum of conversions",$A$3,"week",4,"country","AD")/GETPIVOTDATA("Sum of visits",$A$3,"week",4,"country","AD")</f>
        <v>0.36669320875978706</v>
      </c>
      <c r="AD10" s="7">
        <f>GETPIVOTDATA("Sum of conversions",$A$3,"week",4,"country","AE")/GETPIVOTDATA("Sum of visits",$A$3,"week",4,"country","AE")</f>
        <v>0.82197834573175221</v>
      </c>
      <c r="AE10" s="7">
        <f>GETPIVOTDATA("Sum of conversions",$A$3,"week",4,"country","AF")/GETPIVOTDATA("Sum of visits",$A$3,"week",4,"country","AF")</f>
        <v>0.17324434411346126</v>
      </c>
      <c r="AF10" s="7">
        <f>GETPIVOTDATA("Sum of conversions",$A$3,"week",4,"country","AG")/GETPIVOTDATA("Sum of visits",$A$3,"week",4,"country","AG")</f>
        <v>0.20596179818637855</v>
      </c>
    </row>
    <row r="11" spans="1:33" x14ac:dyDescent="0.25">
      <c r="A11" s="3">
        <v>5</v>
      </c>
      <c r="B11" s="4">
        <v>1585873</v>
      </c>
      <c r="C11" s="4">
        <v>214748</v>
      </c>
      <c r="D11" s="4">
        <v>119674</v>
      </c>
      <c r="E11" s="4">
        <v>24435</v>
      </c>
      <c r="F11" s="4">
        <v>649521</v>
      </c>
      <c r="G11" s="4">
        <v>485258</v>
      </c>
      <c r="H11" s="4">
        <v>783736</v>
      </c>
      <c r="I11" s="4">
        <v>285540</v>
      </c>
      <c r="J11" s="4">
        <v>221967</v>
      </c>
      <c r="K11" s="4">
        <v>181873</v>
      </c>
      <c r="L11" s="4">
        <v>120443</v>
      </c>
      <c r="M11" s="4">
        <v>20712</v>
      </c>
      <c r="N11" s="4">
        <v>72791</v>
      </c>
      <c r="O11" s="4">
        <v>14976</v>
      </c>
      <c r="P11" s="4">
        <v>783693</v>
      </c>
      <c r="Q11" s="4">
        <v>361807</v>
      </c>
      <c r="R11" s="4">
        <v>221786</v>
      </c>
      <c r="S11" s="4">
        <v>13583</v>
      </c>
      <c r="T11" s="4">
        <v>163214</v>
      </c>
      <c r="U11" s="4">
        <v>92088</v>
      </c>
      <c r="V11" s="4"/>
      <c r="W11" s="4"/>
      <c r="X11" s="4">
        <v>4722698</v>
      </c>
      <c r="Y11" s="4">
        <v>1695020</v>
      </c>
      <c r="Z11" s="17">
        <f>GETPIVOTDATA("Sum of conversions",$A$3,"week",5,"country","AA")/GETPIVOTDATA("Sum of visits",$A$3,"week",5,"country","AA")</f>
        <v>0.13541311315597152</v>
      </c>
      <c r="AA11" s="17">
        <f>GETPIVOTDATA("Sum of conversions",$A$3,"week",5,"country","AB")/GETPIVOTDATA("Sum of visits",$A$3,"week",5,"country","AB")</f>
        <v>0.20417968815281515</v>
      </c>
      <c r="AB11" s="17">
        <f>GETPIVOTDATA("Sum of conversions",$A$3,"week",5,"country","AC")/GETPIVOTDATA("Sum of visits",$A$3,"week",5,"country","AC")</f>
        <v>0.74710132543828456</v>
      </c>
      <c r="AC11" s="17">
        <f>GETPIVOTDATA("Sum of conversions",$A$3,"week",5,"country","AD")/GETPIVOTDATA("Sum of visits",$A$3,"week",5,"country","AD")</f>
        <v>0.36433186685312402</v>
      </c>
      <c r="AD11" s="17">
        <f>GETPIVOTDATA("Sum of conversions",$A$3,"week",5,"country","AE")/GETPIVOTDATA("Sum of visits",$A$3,"week",5,"country","AE")</f>
        <v>0.81936954592349309</v>
      </c>
      <c r="AE11" s="17">
        <f>GETPIVOTDATA("Sum of conversions",$A$3,"week",5,"country","AF")/GETPIVOTDATA("Sum of visits",$A$3,"week",5,"country","AF")</f>
        <v>0.17196516194382405</v>
      </c>
      <c r="AF11" s="17">
        <f>GETPIVOTDATA("Sum of conversions",$A$3,"week",5,"country","AG")/GETPIVOTDATA("Sum of visits",$A$3,"week",5,"country","AG")</f>
        <v>0.20573972056985068</v>
      </c>
      <c r="AG11" s="18"/>
    </row>
    <row r="12" spans="1:33" s="16" customFormat="1" x14ac:dyDescent="0.25">
      <c r="A12" s="13">
        <v>6</v>
      </c>
      <c r="B12" s="14">
        <v>1821077</v>
      </c>
      <c r="C12" s="14">
        <v>245841</v>
      </c>
      <c r="D12" s="14">
        <v>138463</v>
      </c>
      <c r="E12" s="14">
        <v>28356</v>
      </c>
      <c r="F12" s="14">
        <v>742115</v>
      </c>
      <c r="G12" s="14">
        <v>553651</v>
      </c>
      <c r="H12" s="14">
        <v>898403</v>
      </c>
      <c r="I12" s="14">
        <v>325940</v>
      </c>
      <c r="J12" s="14">
        <v>251373</v>
      </c>
      <c r="K12" s="14">
        <v>205811</v>
      </c>
      <c r="L12" s="14">
        <v>137886</v>
      </c>
      <c r="M12" s="14">
        <v>23536</v>
      </c>
      <c r="N12" s="14">
        <v>81923</v>
      </c>
      <c r="O12" s="14">
        <v>16506</v>
      </c>
      <c r="P12" s="14">
        <v>896067</v>
      </c>
      <c r="Q12" s="14">
        <v>412468</v>
      </c>
      <c r="R12" s="14">
        <v>251558</v>
      </c>
      <c r="S12" s="14">
        <v>14956</v>
      </c>
      <c r="T12" s="14">
        <v>188398</v>
      </c>
      <c r="U12" s="14">
        <v>105851</v>
      </c>
      <c r="V12" s="14"/>
      <c r="W12" s="14"/>
      <c r="X12" s="14">
        <v>5407263</v>
      </c>
      <c r="Y12" s="14">
        <v>1932916</v>
      </c>
      <c r="Z12" s="17">
        <f>GETPIVOTDATA("Sum of conversions",$A$3,"week",6,"country","AA")/GETPIVOTDATA("Sum of visits",$A$3,"week",6,"country","AA")</f>
        <v>0.13499758659298866</v>
      </c>
      <c r="AA12" s="17">
        <f>GETPIVOTDATA("Sum of conversions",$A$3,"week",6,"country","AB")/GETPIVOTDATA("Sum of visits",$A$3,"week",6,"country","AB")</f>
        <v>0.20479117164874372</v>
      </c>
      <c r="AB12" s="17">
        <f>GETPIVOTDATA("Sum of conversions",$A$3,"week",6,"country","AC")/GETPIVOTDATA("Sum of visits",$A$3,"week",6,"country","AC")</f>
        <v>0.74604475047667818</v>
      </c>
      <c r="AC12" s="17">
        <f>GETPIVOTDATA("Sum of conversions",$A$3,"week",6,"country","AD")/GETPIVOTDATA("Sum of visits",$A$3,"week",6,"country","AD")</f>
        <v>0.36279932279834326</v>
      </c>
      <c r="AD12" s="17">
        <f>GETPIVOTDATA("Sum of conversions",$A$3,"week",6,"country","AE")/GETPIVOTDATA("Sum of visits",$A$3,"week",6,"country","AE")</f>
        <v>0.81874743906465686</v>
      </c>
      <c r="AE12" s="17">
        <f>GETPIVOTDATA("Sum of conversions",$A$3,"week",6,"country","AF")/GETPIVOTDATA("Sum of visits",$A$3,"week",6,"country","AF")</f>
        <v>0.17069173085012257</v>
      </c>
      <c r="AF12" s="17">
        <f>GETPIVOTDATA("Sum of conversions",$A$3,"week",6,"country","AG")/GETPIVOTDATA("Sum of visits",$A$3,"week",6,"country","AG")</f>
        <v>0.2014818793257083</v>
      </c>
      <c r="AG12" s="18"/>
    </row>
    <row r="13" spans="1:33" s="16" customFormat="1" x14ac:dyDescent="0.25">
      <c r="A13" s="13">
        <v>7</v>
      </c>
      <c r="B13" s="14">
        <v>2060078</v>
      </c>
      <c r="C13" s="14">
        <v>276009</v>
      </c>
      <c r="D13" s="14">
        <v>156435</v>
      </c>
      <c r="E13" s="14">
        <v>31221</v>
      </c>
      <c r="F13" s="14">
        <v>1667162</v>
      </c>
      <c r="G13" s="14">
        <v>1242162</v>
      </c>
      <c r="H13" s="14">
        <v>1014095</v>
      </c>
      <c r="I13" s="14">
        <v>366696</v>
      </c>
      <c r="J13" s="14">
        <v>280482</v>
      </c>
      <c r="K13" s="14">
        <v>228936</v>
      </c>
      <c r="L13" s="14">
        <v>156041</v>
      </c>
      <c r="M13" s="14">
        <v>26599</v>
      </c>
      <c r="N13" s="14">
        <v>91422</v>
      </c>
      <c r="O13" s="14">
        <v>18350</v>
      </c>
      <c r="P13" s="14">
        <v>1013667</v>
      </c>
      <c r="Q13" s="14">
        <v>465293</v>
      </c>
      <c r="R13" s="14">
        <v>280557</v>
      </c>
      <c r="S13" s="14">
        <v>16313</v>
      </c>
      <c r="T13" s="14">
        <v>214118</v>
      </c>
      <c r="U13" s="14">
        <v>120577</v>
      </c>
      <c r="V13" s="14"/>
      <c r="W13" s="14"/>
      <c r="X13" s="14">
        <v>6934057</v>
      </c>
      <c r="Y13" s="14">
        <v>2792156</v>
      </c>
      <c r="Z13" s="17">
        <f>GETPIVOTDATA("Sum of conversions",$A$3,"week",7,"country","AA")/GETPIVOTDATA("Sum of visits",$A$3,"week",7,"country","AA")</f>
        <v>0.13397987843178755</v>
      </c>
      <c r="AA13" s="17">
        <f>GETPIVOTDATA("Sum of conversions",$A$3,"week",7,"country","AB")/GETPIVOTDATA("Sum of visits",$A$3,"week",7,"country","AB")</f>
        <v>0.19957809953015629</v>
      </c>
      <c r="AB13" s="17">
        <f>GETPIVOTDATA("Sum of conversions",$A$3,"week",7,"country","AC")/GETPIVOTDATA("Sum of visits",$A$3,"week",7,"country","AC")</f>
        <v>0.74507576348309279</v>
      </c>
      <c r="AC13" s="17">
        <f>GETPIVOTDATA("Sum of conversions",$A$3,"week",7,"country","AD")/GETPIVOTDATA("Sum of visits",$A$3,"week",7,"country","AD")</f>
        <v>0.36159925845211738</v>
      </c>
      <c r="AD13" s="17">
        <f>GETPIVOTDATA("Sum of conversions",$A$3,"week",7,"country","AE")/GETPIVOTDATA("Sum of visits",$A$3,"week",7,"country","AE")</f>
        <v>0.81622350097332452</v>
      </c>
      <c r="AE13" s="17">
        <f>GETPIVOTDATA("Sum of conversions",$A$3,"week",7,"country","AF")/GETPIVOTDATA("Sum of visits",$A$3,"week",7,"country","AF")</f>
        <v>0.17046160944879871</v>
      </c>
      <c r="AF13" s="17">
        <f>GETPIVOTDATA("Sum of conversions",$A$3,"week",7,"country","AG")/GETPIVOTDATA("Sum of visits",$A$3,"week",7,"country","AG")</f>
        <v>0.20071755157401938</v>
      </c>
      <c r="AG13" s="18"/>
    </row>
    <row r="14" spans="1:33" x14ac:dyDescent="0.25">
      <c r="A14" s="3">
        <v>8</v>
      </c>
      <c r="B14" s="4">
        <v>2300896</v>
      </c>
      <c r="C14" s="4">
        <v>307816</v>
      </c>
      <c r="D14" s="4">
        <v>175071</v>
      </c>
      <c r="E14" s="4">
        <v>34882</v>
      </c>
      <c r="F14" s="4">
        <v>1851365</v>
      </c>
      <c r="G14" s="4">
        <v>1375953</v>
      </c>
      <c r="H14" s="4">
        <v>1128291</v>
      </c>
      <c r="I14" s="4">
        <v>406001</v>
      </c>
      <c r="J14" s="4">
        <v>310077</v>
      </c>
      <c r="K14" s="4">
        <v>252491</v>
      </c>
      <c r="L14" s="4">
        <v>175498</v>
      </c>
      <c r="M14" s="4">
        <v>29670</v>
      </c>
      <c r="N14" s="4">
        <v>100146</v>
      </c>
      <c r="O14" s="4">
        <v>19966</v>
      </c>
      <c r="P14" s="4">
        <v>1130210</v>
      </c>
      <c r="Q14" s="4">
        <v>518483</v>
      </c>
      <c r="R14" s="4">
        <v>310164</v>
      </c>
      <c r="S14" s="4">
        <v>17743</v>
      </c>
      <c r="T14" s="4">
        <v>239263</v>
      </c>
      <c r="U14" s="4">
        <v>134316</v>
      </c>
      <c r="V14" s="4"/>
      <c r="W14" s="4"/>
      <c r="X14" s="4">
        <v>7720981</v>
      </c>
      <c r="Y14" s="4">
        <v>3097321</v>
      </c>
      <c r="Z14" s="17">
        <f>GETPIVOTDATA("Sum of conversions",$A$3,"week",8,"country","AA")/GETPIVOTDATA("Sum of visits",$A$3,"week",8,"country","AA")</f>
        <v>0.13378092708231923</v>
      </c>
      <c r="AA14" s="17">
        <f>GETPIVOTDATA("Sum of conversions",$A$3,"week",8,"country","AB")/GETPIVOTDATA("Sum of visits",$A$3,"week",8,"country","AB")</f>
        <v>0.19924487779243849</v>
      </c>
      <c r="AB14" s="17">
        <f>GETPIVOTDATA("Sum of conversions",$A$3,"week",8,"country","AC")/GETPIVOTDATA("Sum of visits",$A$3,"week",8,"country","AC")</f>
        <v>0.7432100099116058</v>
      </c>
      <c r="AC14" s="17">
        <f>GETPIVOTDATA("Sum of conversions",$A$3,"week",8,"country","AD")/GETPIVOTDATA("Sum of visits",$A$3,"week",8,"country","AD")</f>
        <v>0.35983713421448899</v>
      </c>
      <c r="AD14" s="17">
        <f>GETPIVOTDATA("Sum of conversions",$A$3,"week",8,"country","AE")/GETPIVOTDATA("Sum of visits",$A$3,"week",8,"country","AE")</f>
        <v>0.81428483892710524</v>
      </c>
      <c r="AE14" s="17">
        <f>GETPIVOTDATA("Sum of conversions",$A$3,"week",8,"country","AF")/GETPIVOTDATA("Sum of visits",$A$3,"week",8,"country","AF")</f>
        <v>0.16906175568952353</v>
      </c>
      <c r="AF14" s="17">
        <f>GETPIVOTDATA("Sum of conversions",$A$3,"week",8,"country","AG")/GETPIVOTDATA("Sum of visits",$A$3,"week",8,"country","AG")</f>
        <v>0.19936892137479281</v>
      </c>
      <c r="AG14" s="18"/>
    </row>
    <row r="15" spans="1:33" x14ac:dyDescent="0.25">
      <c r="A15" s="3">
        <v>9</v>
      </c>
      <c r="B15" s="4">
        <v>2539698</v>
      </c>
      <c r="C15" s="4">
        <v>337362</v>
      </c>
      <c r="D15" s="4">
        <v>193923</v>
      </c>
      <c r="E15" s="4">
        <v>38185</v>
      </c>
      <c r="F15" s="4">
        <v>2031281</v>
      </c>
      <c r="G15" s="4">
        <v>1507748</v>
      </c>
      <c r="H15" s="4">
        <v>1246333</v>
      </c>
      <c r="I15" s="4">
        <v>446042</v>
      </c>
      <c r="J15" s="4">
        <v>339452</v>
      </c>
      <c r="K15" s="4">
        <v>276210</v>
      </c>
      <c r="L15" s="4">
        <v>193741</v>
      </c>
      <c r="M15" s="4">
        <v>32726</v>
      </c>
      <c r="N15" s="4">
        <v>109598</v>
      </c>
      <c r="O15" s="4">
        <v>21908</v>
      </c>
      <c r="P15" s="4">
        <v>1244680</v>
      </c>
      <c r="Q15" s="4">
        <v>569961</v>
      </c>
      <c r="R15" s="4">
        <v>338400</v>
      </c>
      <c r="S15" s="4">
        <v>18895</v>
      </c>
      <c r="T15" s="4">
        <v>265960</v>
      </c>
      <c r="U15" s="4">
        <v>148699</v>
      </c>
      <c r="V15" s="4"/>
      <c r="W15" s="4"/>
      <c r="X15" s="4">
        <v>8503066</v>
      </c>
      <c r="Y15" s="4">
        <v>3397736</v>
      </c>
      <c r="Z15" s="17">
        <f>GETPIVOTDATA("Sum of conversions",$A$3,"week",9,"country","AA")/GETPIVOTDATA("Sum of visits",$A$3,"week",9,"country","AA")</f>
        <v>0.13283547886402242</v>
      </c>
      <c r="AA15" s="17">
        <f>GETPIVOTDATA("Sum of conversions",$A$3,"week",9,"country","AB")/GETPIVOTDATA("Sum of visits",$A$3,"week",9,"country","AB")</f>
        <v>0.19690805113369739</v>
      </c>
      <c r="AB15" s="17">
        <f>GETPIVOTDATA("Sum of conversions",$A$3,"week",9,"country","AC")/GETPIVOTDATA("Sum of visits",$A$3,"week",9,"country","AC")</f>
        <v>0.74226461036163882</v>
      </c>
      <c r="AC15" s="17">
        <f>GETPIVOTDATA("Sum of conversions",$A$3,"week",9,"country","AD")/GETPIVOTDATA("Sum of visits",$A$3,"week",9,"country","AD")</f>
        <v>0.35788348699745576</v>
      </c>
      <c r="AD15" s="17">
        <f>GETPIVOTDATA("Sum of conversions",$A$3,"week",9,"country","AE")/GETPIVOTDATA("Sum of visits",$A$3,"week",9,"country","AE")</f>
        <v>0.81369383594735045</v>
      </c>
      <c r="AE15" s="17">
        <f>GETPIVOTDATA("Sum of conversions",$A$3,"week",9,"country","AF")/GETPIVOTDATA("Sum of visits",$A$3,"week",9,"country","AF")</f>
        <v>0.16891623352826712</v>
      </c>
      <c r="AF15" s="17">
        <f>GETPIVOTDATA("Sum of conversions",$A$3,"week",9,"country","AG")/GETPIVOTDATA("Sum of visits",$A$3,"week",9,"country","AG")</f>
        <v>0.19989415865253016</v>
      </c>
      <c r="AG15" s="18"/>
    </row>
    <row r="16" spans="1:33" x14ac:dyDescent="0.25">
      <c r="A16" s="3">
        <v>10</v>
      </c>
      <c r="B16" s="4">
        <v>2784401</v>
      </c>
      <c r="C16" s="4">
        <v>367640</v>
      </c>
      <c r="D16" s="4">
        <v>212579</v>
      </c>
      <c r="E16" s="4">
        <v>41775</v>
      </c>
      <c r="F16" s="4">
        <v>2212364</v>
      </c>
      <c r="G16" s="4">
        <v>1638563</v>
      </c>
      <c r="H16" s="4">
        <v>1362998</v>
      </c>
      <c r="I16" s="4">
        <v>485571</v>
      </c>
      <c r="J16" s="4">
        <v>367419</v>
      </c>
      <c r="K16" s="4">
        <v>298639</v>
      </c>
      <c r="L16" s="4">
        <v>213179</v>
      </c>
      <c r="M16" s="4">
        <v>35810</v>
      </c>
      <c r="N16" s="4">
        <v>117614</v>
      </c>
      <c r="O16" s="4">
        <v>23166</v>
      </c>
      <c r="P16" s="4">
        <v>1363317</v>
      </c>
      <c r="Q16" s="4">
        <v>622751</v>
      </c>
      <c r="R16" s="4">
        <v>367075</v>
      </c>
      <c r="S16" s="4">
        <v>19962</v>
      </c>
      <c r="T16" s="4">
        <v>292639</v>
      </c>
      <c r="U16" s="4">
        <v>163580</v>
      </c>
      <c r="V16" s="4"/>
      <c r="W16" s="4"/>
      <c r="X16" s="4">
        <v>9293585</v>
      </c>
      <c r="Y16" s="4">
        <v>3697457</v>
      </c>
      <c r="Z16" s="17">
        <f>GETPIVOTDATA("Sum of conversions",A5,"week",10,"country","AA")/GETPIVOTDATA("Sum of visits",A5,"week",10,"country","AA")</f>
        <v>0.1320355796453169</v>
      </c>
      <c r="AA16" s="17">
        <f>GETPIVOTDATA("Sum of conversions",$A$3,"week",10,"country","AB")/GETPIVOTDATA("Sum of visits",$A$3,"week",10,"country","AB")</f>
        <v>0.19651517788680914</v>
      </c>
      <c r="AB16" s="17">
        <f>GETPIVOTDATA("Sum of conversions",$A$3,"week",10,"country","AC")/GETPIVOTDATA("Sum of visits",$A$3,"week",10,"country","AC")</f>
        <v>0.74063897261029377</v>
      </c>
      <c r="AC16" s="17">
        <f>GETPIVOTDATA("Sum of conversions",$A$3,"week",10,"country","AD")/GETPIVOTDATA("Sum of visits",$A$3,"week",10,"country","AD")</f>
        <v>0.356252173517496</v>
      </c>
      <c r="AD16" s="17">
        <f>GETPIVOTDATA("Sum of conversions",$A$3,"week",10,"country","AE")/GETPIVOTDATA("Sum of visits",$A$3,"week",10,"country","AE")</f>
        <v>0.8128022775087842</v>
      </c>
      <c r="AE16" s="17">
        <f>GETPIVOTDATA("Sum of conversions",$A$3,"week",10,"country","AF")/GETPIVOTDATA("Sum of visits",$A$3,"week",10,"country","AF")</f>
        <v>0.16798089868138982</v>
      </c>
      <c r="AF16" s="17">
        <f>GETPIVOTDATA("Sum of conversions",$A$3,"week",10,"country","AG")/GETPIVOTDATA("Sum of visits",$A$3,"week",10,"country","AG")</f>
        <v>0.19696634754365977</v>
      </c>
      <c r="AG16" s="18"/>
    </row>
    <row r="17" spans="1:33" x14ac:dyDescent="0.25">
      <c r="A17" s="3">
        <v>11</v>
      </c>
      <c r="B17" s="4">
        <v>3031695</v>
      </c>
      <c r="C17" s="4">
        <v>397888</v>
      </c>
      <c r="D17" s="4">
        <v>231480</v>
      </c>
      <c r="E17" s="4">
        <v>45154</v>
      </c>
      <c r="F17" s="4">
        <v>2394776</v>
      </c>
      <c r="G17" s="4">
        <v>1770279</v>
      </c>
      <c r="H17" s="4">
        <v>1480934</v>
      </c>
      <c r="I17" s="4">
        <v>524740</v>
      </c>
      <c r="J17" s="4">
        <v>394269</v>
      </c>
      <c r="K17" s="4">
        <v>319552</v>
      </c>
      <c r="L17" s="4">
        <v>231451</v>
      </c>
      <c r="M17" s="4">
        <v>38889</v>
      </c>
      <c r="N17" s="4">
        <v>125650</v>
      </c>
      <c r="O17" s="4">
        <v>24548</v>
      </c>
      <c r="P17" s="4">
        <v>1482585</v>
      </c>
      <c r="Q17" s="4">
        <v>675408</v>
      </c>
      <c r="R17" s="4">
        <v>394500</v>
      </c>
      <c r="S17" s="4">
        <v>20852</v>
      </c>
      <c r="T17" s="4">
        <v>320057</v>
      </c>
      <c r="U17" s="4">
        <v>178411</v>
      </c>
      <c r="V17" s="4"/>
      <c r="W17" s="4"/>
      <c r="X17" s="4">
        <v>10087397</v>
      </c>
      <c r="Y17" s="4">
        <v>3995721</v>
      </c>
      <c r="Z17" s="17">
        <f>GETPIVOTDATA("Sum of conversions",A6,"week",11,"country","AA")/GETPIVOTDATA("Sum of visits",A6,"week",11,"country","AA")</f>
        <v>0.13124275364111496</v>
      </c>
      <c r="AA17" s="17">
        <f>GETPIVOTDATA("Sum of conversions",$A$3,"week",11,"country","AB")/GETPIVOTDATA("Sum of visits",$A$3,"week",11,"country","AB")</f>
        <v>0.19506652842578193</v>
      </c>
      <c r="AB17" s="17">
        <f t="shared" ref="AB17:AB21" si="0">GETPIVOTDATA("Sum of conversions",$A$3,"week",8,"country","AC")/GETPIVOTDATA("Sum of visits",$A$3,"week",8,"country","AC")</f>
        <v>0.7432100099116058</v>
      </c>
      <c r="AC17" s="17">
        <f>GETPIVOTDATA("Sum of conversions",$A$3,"week",11,"country","AD")/GETPIVOTDATA("Sum of visits",$A$3,"week",11,"country","AD")</f>
        <v>0.35433044281514231</v>
      </c>
      <c r="AD17" s="17">
        <f>GETPIVOTDATA("Sum of conversions",$A$3,"week",11,"country","AE")/GETPIVOTDATA("Sum of visits",$A$3,"week",11,"country","AE")</f>
        <v>0.81049232884147626</v>
      </c>
      <c r="AE17" s="17">
        <f>GETPIVOTDATA("Sum of conversions",$A$3,"week",11,"country","AF")/GETPIVOTDATA("Sum of visits",$A$3,"week",11,"country","AF")</f>
        <v>0.16802260521665494</v>
      </c>
      <c r="AF17" s="17">
        <f>GETPIVOTDATA("Sum of conversions",$A$3,"week",11,"country","AG")/GETPIVOTDATA("Sum of visits",$A$3,"week",11,"country","AG")</f>
        <v>0.19536808595304417</v>
      </c>
      <c r="AG17" s="18"/>
    </row>
    <row r="18" spans="1:33" x14ac:dyDescent="0.25">
      <c r="A18" s="3">
        <v>12</v>
      </c>
      <c r="B18" s="4">
        <v>3276462</v>
      </c>
      <c r="C18" s="4">
        <v>428408</v>
      </c>
      <c r="D18" s="4">
        <v>250669</v>
      </c>
      <c r="E18" s="4">
        <v>48443</v>
      </c>
      <c r="F18" s="4">
        <v>2578612</v>
      </c>
      <c r="G18" s="4">
        <v>1902572</v>
      </c>
      <c r="H18" s="4">
        <v>1601659</v>
      </c>
      <c r="I18" s="4">
        <v>565854</v>
      </c>
      <c r="J18" s="4">
        <v>421177</v>
      </c>
      <c r="K18" s="4">
        <v>340428</v>
      </c>
      <c r="L18" s="4">
        <v>251350</v>
      </c>
      <c r="M18" s="4">
        <v>41646</v>
      </c>
      <c r="N18" s="4">
        <v>134235</v>
      </c>
      <c r="O18" s="4">
        <v>26263</v>
      </c>
      <c r="P18" s="4">
        <v>1599588</v>
      </c>
      <c r="Q18" s="4">
        <v>728291</v>
      </c>
      <c r="R18" s="4">
        <v>421498</v>
      </c>
      <c r="S18" s="4">
        <v>21645</v>
      </c>
      <c r="T18" s="4">
        <v>347722</v>
      </c>
      <c r="U18" s="4">
        <v>193438</v>
      </c>
      <c r="V18" s="4"/>
      <c r="W18" s="4"/>
      <c r="X18" s="4">
        <v>10882972</v>
      </c>
      <c r="Y18" s="4">
        <v>4296988</v>
      </c>
      <c r="Z18" s="17">
        <f>GETPIVOTDATA("Sum of conversions",A7,"week",12,"country","AA")/GETPIVOTDATA("Sum of visits",A7,"week",12,"country","AA")</f>
        <v>0.13075323321314272</v>
      </c>
      <c r="AA18" s="17">
        <f>GETPIVOTDATA("Sum of conversions",$A$3,"week",12,"country","AB")/GETPIVOTDATA("Sum of visits",$A$3,"week",12,"country","AB")</f>
        <v>0.19325485002134288</v>
      </c>
      <c r="AB18" s="17">
        <f>GETPIVOTDATA("Sum of conversions",$A$3,"week",11,"country","AC")/GETPIVOTDATA("Sum of visits",$A$3,"week",11,"country","AC")</f>
        <v>0.73922529706327444</v>
      </c>
      <c r="AC18" s="17">
        <f>GETPIVOTDATA("Sum of conversions",$A$3,"week",12,"country","AD")/GETPIVOTDATA("Sum of visits",$A$3,"week",12,"country","AD")</f>
        <v>0.35329242991173526</v>
      </c>
      <c r="AD18" s="17">
        <f>GETPIVOTDATA("Sum of conversions",$A$3,"week",12,"country","AE")/GETPIVOTDATA("Sum of visits",$A$3,"week",12,"country","AE")</f>
        <v>0.80827775495812926</v>
      </c>
      <c r="AE18" s="17">
        <f>GETPIVOTDATA("Sum of conversions",$A$3,"week",12,"country","AF")/GETPIVOTDATA("Sum of visits",$A$3,"week",12,"country","AF")</f>
        <v>0.16568927789934354</v>
      </c>
      <c r="AF18" s="17">
        <f>GETPIVOTDATA("Sum of conversions",$A$3,"week",12,"country","AG")/GETPIVOTDATA("Sum of visits",$A$3,"week",12,"country","AG")</f>
        <v>0.19564942079189482</v>
      </c>
      <c r="AG18" s="18"/>
    </row>
    <row r="19" spans="1:33" x14ac:dyDescent="0.25">
      <c r="A19" s="3">
        <v>13</v>
      </c>
      <c r="B19" s="4">
        <v>3530960</v>
      </c>
      <c r="C19" s="4">
        <v>458408</v>
      </c>
      <c r="D19" s="4">
        <v>270079</v>
      </c>
      <c r="E19" s="4">
        <v>51924</v>
      </c>
      <c r="F19" s="4">
        <v>2758796</v>
      </c>
      <c r="G19" s="4">
        <v>2031595</v>
      </c>
      <c r="H19" s="4">
        <v>1717686</v>
      </c>
      <c r="I19" s="4">
        <v>602523</v>
      </c>
      <c r="J19" s="4">
        <v>447901</v>
      </c>
      <c r="K19" s="4">
        <v>361721</v>
      </c>
      <c r="L19" s="4">
        <v>270810</v>
      </c>
      <c r="M19" s="4">
        <v>45086</v>
      </c>
      <c r="N19" s="4">
        <v>142399</v>
      </c>
      <c r="O19" s="4">
        <v>27327</v>
      </c>
      <c r="P19" s="4">
        <v>1718940</v>
      </c>
      <c r="Q19" s="4">
        <v>780416</v>
      </c>
      <c r="R19" s="4">
        <v>449186</v>
      </c>
      <c r="S19" s="4">
        <v>22217</v>
      </c>
      <c r="T19" s="4">
        <v>375999</v>
      </c>
      <c r="U19" s="4">
        <v>209280</v>
      </c>
      <c r="V19" s="4"/>
      <c r="W19" s="4"/>
      <c r="X19" s="4">
        <v>11682756</v>
      </c>
      <c r="Y19" s="4">
        <v>4590497</v>
      </c>
      <c r="Z19" s="17">
        <f>GETPIVOTDATA("Sum of conversions",A8,"week",13,"country","AA")/GETPIVOTDATA("Sum of visits",A8,"week",13,"country","AA")</f>
        <v>0.12982531662777261</v>
      </c>
      <c r="AA19" s="17">
        <f>GETPIVOTDATA("Sum of conversions",$A$3,"week",13,"country","AB")/GETPIVOTDATA("Sum of visits",$A$3,"week",13,"country","AB")</f>
        <v>0.19225485876354695</v>
      </c>
      <c r="AB19" s="17">
        <f>GETPIVOTDATA("Sum of conversions",$A$3,"week",12,"country","AC")/GETPIVOTDATA("Sum of visits",$A$3,"week",12,"country","AC")</f>
        <v>0.73782794774863381</v>
      </c>
      <c r="AC19" s="17">
        <f>GETPIVOTDATA("Sum of conversions",$A$3,"week",13,"country","AD")/GETPIVOTDATA("Sum of visits",$A$3,"week",13,"country","AD")</f>
        <v>0.35077598583210201</v>
      </c>
      <c r="AD19" s="17">
        <f>GETPIVOTDATA("Sum of conversions",$A$3,"week",13,"country","AE")/GETPIVOTDATA("Sum of visits",$A$3,"week",13,"country","AE")</f>
        <v>0.80759140970884191</v>
      </c>
      <c r="AE19" s="17">
        <f>GETPIVOTDATA("Sum of conversions",$A$3,"week",13,"country","AF")/GETPIVOTDATA("Sum of visits",$A$3,"week",13,"country","AF")</f>
        <v>0.16648572800118164</v>
      </c>
      <c r="AF19" s="17">
        <f>GETPIVOTDATA("Sum of conversions",$A$3,"week",13,"country","AG")/GETPIVOTDATA("Sum of visits",$A$3,"week",13,"country","AG")</f>
        <v>0.19190443753116243</v>
      </c>
      <c r="AG19" s="18"/>
    </row>
    <row r="20" spans="1:33" x14ac:dyDescent="0.25">
      <c r="A20" s="3">
        <v>14</v>
      </c>
      <c r="B20" s="4">
        <v>3782034</v>
      </c>
      <c r="C20" s="4">
        <v>488886</v>
      </c>
      <c r="D20" s="4">
        <v>289540</v>
      </c>
      <c r="E20" s="4">
        <v>55484</v>
      </c>
      <c r="F20" s="4">
        <v>2939569</v>
      </c>
      <c r="G20" s="4">
        <v>2161037</v>
      </c>
      <c r="H20" s="4">
        <v>1838897</v>
      </c>
      <c r="I20" s="4">
        <v>642090</v>
      </c>
      <c r="J20" s="4">
        <v>475548</v>
      </c>
      <c r="K20" s="4">
        <v>383573</v>
      </c>
      <c r="L20" s="4">
        <v>289935</v>
      </c>
      <c r="M20" s="4">
        <v>47879</v>
      </c>
      <c r="N20" s="4">
        <v>149410</v>
      </c>
      <c r="O20" s="4">
        <v>28490</v>
      </c>
      <c r="P20" s="4">
        <v>1838218</v>
      </c>
      <c r="Q20" s="4">
        <v>832814</v>
      </c>
      <c r="R20" s="4">
        <v>473612</v>
      </c>
      <c r="S20" s="4">
        <v>22881</v>
      </c>
      <c r="T20" s="4">
        <v>404352</v>
      </c>
      <c r="U20" s="4">
        <v>224501</v>
      </c>
      <c r="V20" s="4"/>
      <c r="W20" s="4"/>
      <c r="X20" s="4">
        <v>12481115</v>
      </c>
      <c r="Y20" s="4">
        <v>4887635</v>
      </c>
      <c r="Z20" s="17">
        <f>GETPIVOTDATA("Sum of conversions",A9,"week",14,"country","AA")/GETPIVOTDATA("Sum of visits",A9,"week",14,"country","AA")</f>
        <v>0.12926536355833923</v>
      </c>
      <c r="AA20" s="17">
        <f>GETPIVOTDATA("Sum of conversions",$A$3,"week",14,"country","AB")/GETPIVOTDATA("Sum of visits",$A$3,"week",14,"country","AB")</f>
        <v>0.19162809974442219</v>
      </c>
      <c r="AB20" s="17">
        <f>GETPIVOTDATA("Sum of conversions",$A$3,"week",13,"country","AC")/GETPIVOTDATA("Sum of visits",$A$3,"week",13,"country","AC")</f>
        <v>0.73640638887398702</v>
      </c>
      <c r="AC20" s="17">
        <f>GETPIVOTDATA("Sum of conversions",$A$3,"week",14,"country","AD")/GETPIVOTDATA("Sum of visits",$A$3,"week",14,"country","AD")</f>
        <v>0.34917126951645472</v>
      </c>
      <c r="AD20" s="17">
        <f>GETPIVOTDATA("Sum of conversions",$A$3,"week",14,"country","AE")/GETPIVOTDATA("Sum of visits",$A$3,"week",14,"country","AE")</f>
        <v>0.80659155332374444</v>
      </c>
      <c r="AE20" s="17">
        <f>GETPIVOTDATA("Sum of conversions",$A$3,"week",14,"country","AF")/GETPIVOTDATA("Sum of visits",$A$3,"week",14,"country","AF")</f>
        <v>0.16513701346853604</v>
      </c>
      <c r="AF20" s="17">
        <f>GETPIVOTDATA("Sum of conversions",$A$3,"week",14,"country","AG")/GETPIVOTDATA("Sum of visits",$A$3,"week",14,"country","AG")</f>
        <v>0.19068335452780938</v>
      </c>
      <c r="AG20" s="18"/>
    </row>
    <row r="21" spans="1:33" x14ac:dyDescent="0.25">
      <c r="A21" s="3">
        <v>15</v>
      </c>
      <c r="B21" s="4">
        <v>4039195</v>
      </c>
      <c r="C21" s="4">
        <v>518985</v>
      </c>
      <c r="D21" s="4">
        <v>311294</v>
      </c>
      <c r="E21" s="4">
        <v>58811</v>
      </c>
      <c r="F21" s="4">
        <v>3117818</v>
      </c>
      <c r="G21" s="4">
        <v>2287251</v>
      </c>
      <c r="H21" s="4">
        <v>1959946</v>
      </c>
      <c r="I21" s="4">
        <v>681345</v>
      </c>
      <c r="J21" s="4">
        <v>500915</v>
      </c>
      <c r="K21" s="4">
        <v>402892</v>
      </c>
      <c r="L21" s="4">
        <v>310605</v>
      </c>
      <c r="M21" s="4">
        <v>50396</v>
      </c>
      <c r="N21" s="4">
        <v>157057</v>
      </c>
      <c r="O21" s="4">
        <v>29601</v>
      </c>
      <c r="P21" s="4">
        <v>1957873</v>
      </c>
      <c r="Q21" s="4">
        <v>885660</v>
      </c>
      <c r="R21" s="4">
        <v>500967</v>
      </c>
      <c r="S21" s="4">
        <v>23553</v>
      </c>
      <c r="T21" s="4">
        <v>433037</v>
      </c>
      <c r="U21" s="4">
        <v>239778</v>
      </c>
      <c r="V21" s="4"/>
      <c r="W21" s="4"/>
      <c r="X21" s="4">
        <v>13288707</v>
      </c>
      <c r="Y21" s="4">
        <v>5178272</v>
      </c>
      <c r="Z21" s="17">
        <f>GETPIVOTDATA("Sum of conversions",A10,"week",15,"country","AA")/GETPIVOTDATA("Sum of visits",A10,"week",15,"country","AA")</f>
        <v>0.12848723569919254</v>
      </c>
      <c r="AA21" s="17">
        <f>GETPIVOTDATA("Sum of conversions",$A$3,"week",15,"country","AB")/GETPIVOTDATA("Sum of visits",$A$3,"week",15,"country","AB")</f>
        <v>0.18892429664561475</v>
      </c>
      <c r="AB21" s="17">
        <f t="shared" si="0"/>
        <v>0.7432100099116058</v>
      </c>
      <c r="AC21" s="17">
        <f>GETPIVOTDATA("Sum of conversions",$A$3,"week",15,"country","AD")/GETPIVOTDATA("Sum of visits",$A$3,"week",15,"country","AD")</f>
        <v>0.34763457768734446</v>
      </c>
      <c r="AD21" s="17">
        <f>GETPIVOTDATA("Sum of conversions",$A$3,"week",15,"country","AE")/GETPIVOTDATA("Sum of visits",$A$3,"week",15,"country","AE")</f>
        <v>0.80431210884082127</v>
      </c>
      <c r="AE21" s="17">
        <f>GETPIVOTDATA("Sum of conversions",$A$3,"week",15,"country","AF")/GETPIVOTDATA("Sum of visits",$A$3,"week",15,"country","AF")</f>
        <v>0.16225109061348014</v>
      </c>
      <c r="AF21" s="17">
        <f>GETPIVOTDATA("Sum of conversions",$A$3,"week",15,"country","AG")/GETPIVOTDATA("Sum of visits",$A$3,"week",15,"country","AG")</f>
        <v>0.188472974779857</v>
      </c>
      <c r="AG21" s="18"/>
    </row>
    <row r="22" spans="1:33" x14ac:dyDescent="0.25">
      <c r="A22" s="3">
        <v>16</v>
      </c>
      <c r="B22" s="4">
        <v>4294235</v>
      </c>
      <c r="C22" s="4">
        <v>549125</v>
      </c>
      <c r="D22" s="4">
        <v>331117</v>
      </c>
      <c r="E22" s="4">
        <v>62307</v>
      </c>
      <c r="F22" s="4">
        <v>3298038</v>
      </c>
      <c r="G22" s="4">
        <v>2415515</v>
      </c>
      <c r="H22" s="4">
        <v>2079973</v>
      </c>
      <c r="I22" s="4">
        <v>719123</v>
      </c>
      <c r="J22" s="4">
        <v>527517</v>
      </c>
      <c r="K22" s="4">
        <v>423493</v>
      </c>
      <c r="L22" s="4">
        <v>330071</v>
      </c>
      <c r="M22" s="4">
        <v>54229</v>
      </c>
      <c r="N22" s="4">
        <v>163859</v>
      </c>
      <c r="O22" s="4">
        <v>30932</v>
      </c>
      <c r="P22" s="4">
        <v>2080915</v>
      </c>
      <c r="Q22" s="4">
        <v>939164</v>
      </c>
      <c r="R22" s="4">
        <v>526893</v>
      </c>
      <c r="S22" s="4">
        <v>24006</v>
      </c>
      <c r="T22" s="4">
        <v>462577</v>
      </c>
      <c r="U22" s="4">
        <v>256012</v>
      </c>
      <c r="V22" s="4"/>
      <c r="W22" s="4"/>
      <c r="X22" s="4">
        <v>14095195</v>
      </c>
      <c r="Y22" s="4">
        <v>5473906</v>
      </c>
      <c r="Z22" s="17">
        <f>GETPIVOTDATA("Sum of conversions",A11,"week",16,"country","AA")/GETPIVOTDATA("Sum of visits",A11,"week",16,"country","AA")</f>
        <v>0.12787492999335154</v>
      </c>
      <c r="AA22" s="17">
        <f>GETPIVOTDATA("Sum of conversions",$A$3,"week",16,"country","AB")/GETPIVOTDATA("Sum of visits",$A$3,"week",16,"country","AB")</f>
        <v>0.18817215666969681</v>
      </c>
      <c r="AB22" s="17">
        <f>GETPIVOTDATA("Sum of conversions",$A$3,"week",14,"country","AC")/GETPIVOTDATA("Sum of visits",$A$3,"week",14,"country","AC")</f>
        <v>0.73515437127007399</v>
      </c>
      <c r="AC22" s="17">
        <f>GETPIVOTDATA("Sum of conversions",$A$3,"week",16,"country","AD")/GETPIVOTDATA("Sum of visits",$A$3,"week",16,"country","AD")</f>
        <v>0.34573669946677194</v>
      </c>
      <c r="AD22" s="17">
        <f>GETPIVOTDATA("Sum of conversions",$A$3,"week",16,"country","AE")/GETPIVOTDATA("Sum of visits",$A$3,"week",16,"country","AE")</f>
        <v>0.80280445938235168</v>
      </c>
      <c r="AE22" s="17">
        <f>GETPIVOTDATA("Sum of conversions",$A$3,"week",16,"country","AF")/GETPIVOTDATA("Sum of visits",$A$3,"week",16,"country","AF")</f>
        <v>0.16429495472186287</v>
      </c>
      <c r="AF22" s="17">
        <f>GETPIVOTDATA("Sum of conversions",$A$3,"week",16,"country","AG")/GETPIVOTDATA("Sum of visits",$A$3,"week",16,"country","AG")</f>
        <v>0.18877205402205555</v>
      </c>
      <c r="AG22" s="18"/>
    </row>
    <row r="23" spans="1:33" x14ac:dyDescent="0.25">
      <c r="A23" s="3">
        <v>17</v>
      </c>
      <c r="B23" s="4">
        <v>4554109</v>
      </c>
      <c r="C23" s="4">
        <v>578353</v>
      </c>
      <c r="D23" s="4">
        <v>350352</v>
      </c>
      <c r="E23" s="4">
        <v>65435</v>
      </c>
      <c r="F23" s="4">
        <v>3475476</v>
      </c>
      <c r="G23" s="4">
        <v>2540075</v>
      </c>
      <c r="H23" s="4">
        <v>2203388</v>
      </c>
      <c r="I23" s="4">
        <v>758761</v>
      </c>
      <c r="J23" s="4">
        <v>551238</v>
      </c>
      <c r="K23" s="4">
        <v>441875</v>
      </c>
      <c r="L23" s="4">
        <v>351502</v>
      </c>
      <c r="M23" s="4">
        <v>57294</v>
      </c>
      <c r="N23" s="4">
        <v>171367</v>
      </c>
      <c r="O23" s="4">
        <v>31905</v>
      </c>
      <c r="P23" s="4">
        <v>2202687</v>
      </c>
      <c r="Q23" s="4">
        <v>990390</v>
      </c>
      <c r="R23" s="4">
        <v>551308</v>
      </c>
      <c r="S23" s="4">
        <v>24277</v>
      </c>
      <c r="T23" s="4">
        <v>493470</v>
      </c>
      <c r="U23" s="4">
        <v>271591</v>
      </c>
      <c r="V23" s="4"/>
      <c r="W23" s="4"/>
      <c r="X23" s="4">
        <v>14904897</v>
      </c>
      <c r="Y23" s="4">
        <v>5759956</v>
      </c>
      <c r="Z23" s="17">
        <f>GETPIVOTDATA("Sum of conversions",A12,"week",17,"country","AA")/GETPIVOTDATA("Sum of visits",A12,"week",17,"country","AA")</f>
        <v>0.12699586241787361</v>
      </c>
      <c r="AA23" s="17">
        <f>GETPIVOTDATA("Sum of conversions",$A$3,"week",17,"country","AB")/GETPIVOTDATA("Sum of visits",$A$3,"week",17,"country","AB")</f>
        <v>0.18676930629766636</v>
      </c>
      <c r="AB23" s="17">
        <f>GETPIVOTDATA("Sum of conversions",$A$3,"week",15,"country","AC")/GETPIVOTDATA("Sum of visits",$A$3,"week",15,"country","AC")</f>
        <v>0.73360632339668319</v>
      </c>
      <c r="AC23" s="17">
        <f>GETPIVOTDATA("Sum of conversions",$A$3,"week",17,"country","AD")/GETPIVOTDATA("Sum of visits",$A$3,"week",17,"country","AD")</f>
        <v>0.34436104762302416</v>
      </c>
      <c r="AD23" s="17">
        <f>GETPIVOTDATA("Sum of conversions",$A$3,"week",17,"country","AE")/GETPIVOTDATA("Sum of visits",$A$3,"week",17,"country","AE")</f>
        <v>0.80160475148665367</v>
      </c>
      <c r="AE23" s="17">
        <f>GETPIVOTDATA("Sum of conversions",$A$3,"week",17,"country","AF")/GETPIVOTDATA("Sum of visits",$A$3,"week",17,"country","AF")</f>
        <v>0.16299765008449454</v>
      </c>
      <c r="AF23" s="17">
        <f>GETPIVOTDATA("Sum of conversions",$A$3,"week",17,"country","AG")/GETPIVOTDATA("Sum of visits",$A$3,"week",17,"country","AG")</f>
        <v>0.18617936942351795</v>
      </c>
      <c r="AG23" s="18"/>
    </row>
    <row r="24" spans="1:33" x14ac:dyDescent="0.25">
      <c r="A24" s="3">
        <v>18</v>
      </c>
      <c r="B24" s="4">
        <v>4816115</v>
      </c>
      <c r="C24" s="4">
        <v>608879</v>
      </c>
      <c r="D24" s="4">
        <v>371659</v>
      </c>
      <c r="E24" s="4">
        <v>69019</v>
      </c>
      <c r="F24" s="4">
        <v>3656315</v>
      </c>
      <c r="G24" s="4">
        <v>2668154</v>
      </c>
      <c r="H24" s="4">
        <v>2325600</v>
      </c>
      <c r="I24" s="4">
        <v>796163</v>
      </c>
      <c r="J24" s="4">
        <v>576957</v>
      </c>
      <c r="K24" s="4">
        <v>461599</v>
      </c>
      <c r="L24" s="4">
        <v>371236</v>
      </c>
      <c r="M24" s="4">
        <v>60133</v>
      </c>
      <c r="N24" s="4">
        <v>176843</v>
      </c>
      <c r="O24" s="4">
        <v>32853</v>
      </c>
      <c r="P24" s="4">
        <v>2325445</v>
      </c>
      <c r="Q24" s="4">
        <v>1046628</v>
      </c>
      <c r="R24" s="4">
        <v>576665</v>
      </c>
      <c r="S24" s="4">
        <v>24438</v>
      </c>
      <c r="T24" s="4">
        <v>522139</v>
      </c>
      <c r="U24" s="4">
        <v>287237</v>
      </c>
      <c r="V24" s="4"/>
      <c r="W24" s="4"/>
      <c r="X24" s="4">
        <v>15718974</v>
      </c>
      <c r="Y24" s="4">
        <v>6055103</v>
      </c>
      <c r="Z24" s="17">
        <f>GETPIVOTDATA("Sum of conversions",A13,"week",18,"country","AA")/GETPIVOTDATA("Sum of visits",A13,"week",18,"country","AA")</f>
        <v>0.12642534490974572</v>
      </c>
      <c r="AA24" s="17">
        <f>GETPIVOTDATA("Sum of conversions",$A$3,"week",18,"country","AB")/GETPIVOTDATA("Sum of visits",$A$3,"week",18,"country","AB")</f>
        <v>0.18570517598120859</v>
      </c>
      <c r="AB24" s="17">
        <f>GETPIVOTDATA("Sum of conversions",$A$3,"week",16,"country","AC")/GETPIVOTDATA("Sum of visits",$A$3,"week",16,"country","AC")</f>
        <v>0.73240969327824601</v>
      </c>
      <c r="AC24" s="17">
        <f>GETPIVOTDATA("Sum of conversions",$A$3,"week",18,"country","AD")/GETPIVOTDATA("Sum of visits",$A$3,"week",18,"country","AD")</f>
        <v>0.34234735122119025</v>
      </c>
      <c r="AD24" s="17">
        <f>GETPIVOTDATA("Sum of conversions",$A$3,"week",18,"country","AE")/GETPIVOTDATA("Sum of visits",$A$3,"week",18,"country","AE")</f>
        <v>0.80005788992940552</v>
      </c>
      <c r="AE24" s="17">
        <f>GETPIVOTDATA("Sum of conversions",$A$3,"week",18,"country","AF")/GETPIVOTDATA("Sum of visits",$A$3,"week",18,"country","AF")</f>
        <v>0.16198051913068776</v>
      </c>
      <c r="AF24" s="17">
        <f>GETPIVOTDATA("Sum of conversions",$A$3,"week",18,"country","AG")/GETPIVOTDATA("Sum of visits",$A$3,"week",18,"country","AG")</f>
        <v>0.18577495292434532</v>
      </c>
      <c r="AG24" s="18"/>
    </row>
    <row r="25" spans="1:33" x14ac:dyDescent="0.25">
      <c r="A25" s="3">
        <v>19</v>
      </c>
      <c r="B25" s="4">
        <v>5080768</v>
      </c>
      <c r="C25" s="4">
        <v>637669</v>
      </c>
      <c r="D25" s="4">
        <v>392553</v>
      </c>
      <c r="E25" s="4">
        <v>72119</v>
      </c>
      <c r="F25" s="4">
        <v>3834660</v>
      </c>
      <c r="G25" s="4">
        <v>2793441</v>
      </c>
      <c r="H25" s="4">
        <v>2452596</v>
      </c>
      <c r="I25" s="4">
        <v>835598</v>
      </c>
      <c r="J25" s="4">
        <v>599393</v>
      </c>
      <c r="K25" s="4">
        <v>478987</v>
      </c>
      <c r="L25" s="4">
        <v>392825</v>
      </c>
      <c r="M25" s="4">
        <v>63685</v>
      </c>
      <c r="N25" s="4">
        <v>184790</v>
      </c>
      <c r="O25" s="4">
        <v>33875</v>
      </c>
      <c r="P25" s="4">
        <v>2446572</v>
      </c>
      <c r="Q25" s="4">
        <v>1098159</v>
      </c>
      <c r="R25" s="4">
        <v>600294</v>
      </c>
      <c r="S25" s="4">
        <v>24826</v>
      </c>
      <c r="T25" s="4">
        <v>554909</v>
      </c>
      <c r="U25" s="4">
        <v>304702</v>
      </c>
      <c r="V25" s="4"/>
      <c r="W25" s="4"/>
      <c r="X25" s="4">
        <v>16539360</v>
      </c>
      <c r="Y25" s="4">
        <v>6343061</v>
      </c>
      <c r="Z25" s="17">
        <f>GETPIVOTDATA("Sum of conversions",A14,"week",19,"country","AA")/GETPIVOTDATA("Sum of visits",A14,"week",19,"country","AA")</f>
        <v>0.12550641950193356</v>
      </c>
      <c r="AA25" s="17">
        <f>GETPIVOTDATA("Sum of conversions",$A$3,"week",19,"country","AB")/GETPIVOTDATA("Sum of visits",$A$3,"week",19,"country","AB")</f>
        <v>0.18371786739624968</v>
      </c>
      <c r="AB25" s="17">
        <f>GETPIVOTDATA("Sum of conversions",$A$3,"week",17,"country","AC")/GETPIVOTDATA("Sum of visits",$A$3,"week",17,"country","AC")</f>
        <v>0.73085672293521808</v>
      </c>
      <c r="AC25" s="17">
        <f>GETPIVOTDATA("Sum of conversions",$A$3,"week",19,"country","AD")/GETPIVOTDATA("Sum of visits",$A$3,"week",19,"country","AD")</f>
        <v>0.34069940585404201</v>
      </c>
      <c r="AD25" s="17">
        <f>GETPIVOTDATA("Sum of conversions",$A$3,"week",19,"country","AE")/GETPIVOTDATA("Sum of visits",$A$3,"week",19,"country","AE")</f>
        <v>0.79912010984445936</v>
      </c>
      <c r="AE25" s="17">
        <f>GETPIVOTDATA("Sum of conversions",$A$3,"week",19,"country","AF")/GETPIVOTDATA("Sum of visits",$A$3,"week",19,"country","AF")</f>
        <v>0.1621205371348565</v>
      </c>
      <c r="AF25" s="17">
        <f>GETPIVOTDATA("Sum of conversions",$A$3,"week",19,"country","AG")/GETPIVOTDATA("Sum of visits",$A$3,"week",19,"country","AG")</f>
        <v>0.18331619676389416</v>
      </c>
      <c r="AG25" s="18"/>
    </row>
    <row r="26" spans="1:33" x14ac:dyDescent="0.25">
      <c r="A26" s="3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7"/>
      <c r="AA26" s="7"/>
      <c r="AB26" s="7"/>
    </row>
    <row r="27" spans="1:33" x14ac:dyDescent="0.25">
      <c r="A27" s="3" t="s">
        <v>20</v>
      </c>
      <c r="B27" s="4">
        <v>53977200</v>
      </c>
      <c r="C27" s="4">
        <v>7032877</v>
      </c>
      <c r="D27" s="4">
        <v>4132771</v>
      </c>
      <c r="E27" s="4">
        <v>797402</v>
      </c>
      <c r="F27" s="4">
        <v>39069621</v>
      </c>
      <c r="G27" s="4">
        <v>28772764</v>
      </c>
      <c r="H27" s="4">
        <v>26318069</v>
      </c>
      <c r="I27" s="4">
        <v>9263094</v>
      </c>
      <c r="J27" s="4">
        <v>6909015</v>
      </c>
      <c r="K27" s="4">
        <v>5588559</v>
      </c>
      <c r="L27" s="4">
        <v>4133945</v>
      </c>
      <c r="M27" s="4">
        <v>687370</v>
      </c>
      <c r="N27" s="4">
        <v>2190678</v>
      </c>
      <c r="O27" s="4">
        <v>424735</v>
      </c>
      <c r="P27" s="4">
        <v>26307783</v>
      </c>
      <c r="Q27" s="4">
        <v>11959562</v>
      </c>
      <c r="R27" s="4">
        <v>6910221</v>
      </c>
      <c r="S27" s="4">
        <v>351932</v>
      </c>
      <c r="T27" s="4">
        <v>5733085</v>
      </c>
      <c r="U27" s="4">
        <v>3188544</v>
      </c>
      <c r="V27" s="4"/>
      <c r="W27" s="4"/>
      <c r="X27" s="4">
        <v>175682388</v>
      </c>
      <c r="Y27" s="4">
        <v>68066839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Summary</vt:lpstr>
      <vt:lpstr>Coversion Rate</vt:lpstr>
      <vt:lpstr>Detail1</vt:lpstr>
      <vt:lpstr>Browser</vt:lpstr>
      <vt:lpstr>Country</vt:lpstr>
      <vt:lpstr>BrowserWeek</vt:lpstr>
      <vt:lpstr>CountryWeek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Adrika Navas</cp:lastModifiedBy>
  <dcterms:modified xsi:type="dcterms:W3CDTF">2026-04-17T15:17:11Z</dcterms:modified>
</cp:coreProperties>
</file>